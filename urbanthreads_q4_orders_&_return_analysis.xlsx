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ata Analysis\PurpleMerit Assessment\"/>
    </mc:Choice>
  </mc:AlternateContent>
  <xr:revisionPtr revIDLastSave="0" documentId="13_ncr:1_{041C7CE0-55B2-41E6-9F47-13117CFB8F84}" xr6:coauthVersionLast="47" xr6:coauthVersionMax="47" xr10:uidLastSave="{00000000-0000-0000-0000-000000000000}"/>
  <bookViews>
    <workbookView xWindow="-108" yWindow="-108" windowWidth="23256" windowHeight="12456" firstSheet="3" activeTab="11" xr2:uid="{00000000-000D-0000-FFFF-FFFF00000000}"/>
  </bookViews>
  <sheets>
    <sheet name="Urban_threads_original_data" sheetId="1" r:id="rId1"/>
    <sheet name="Validated_Raw_Data" sheetId="5" r:id="rId2"/>
    <sheet name="Cleaned_Data" sheetId="10" r:id="rId3"/>
    <sheet name="Note" sheetId="3" r:id="rId4"/>
    <sheet name="Q4_Summary_Dashboard" sheetId="9" r:id="rId5"/>
    <sheet name="Trend Analysis" sheetId="11" r:id="rId6"/>
    <sheet name="Segment Analysis" sheetId="12" r:id="rId7"/>
    <sheet name="KPI Metrics" sheetId="14" r:id="rId8"/>
    <sheet name="Business Interpretation" sheetId="15" r:id="rId9"/>
    <sheet name="Cleaning_Log" sheetId="4" r:id="rId10"/>
    <sheet name="Validation Summary" sheetId="16" r:id="rId11"/>
    <sheet name="Analysis" sheetId="17" r:id="rId12"/>
  </sheets>
  <definedNames>
    <definedName name="_xlcn.WorksheetConnection_urbanthreads_q4_copy.xlsxTable1_11" hidden="1">Table1_1[]</definedName>
    <definedName name="_xlcn.WorksheetConnection_urbanthreads_q4_copy.xlsxTable41" hidden="1">Table4</definedName>
    <definedName name="ExternalData_1" localSheetId="2" hidden="1">Cleaned_Data!$A$1:$AE$340</definedName>
    <definedName name="ExternalData_1" localSheetId="1" hidden="1">Validated_Raw_Data!$A$1:$AE$347</definedName>
  </definedNames>
  <calcPr calcId="191029"/>
  <pivotCaches>
    <pivotCache cacheId="0" r:id="rId13"/>
  </pivotCaches>
  <extLst>
    <ext xmlns:x15="http://schemas.microsoft.com/office/spreadsheetml/2010/11/main" uri="{FCE2AD5D-F65C-4FA6-A056-5C36A1767C68}">
      <x15:dataModel>
        <x15:modelTables>
          <x15:modelTable id="Table4" name="Table4" connection="WorksheetConnection_urbanthreads_q4_copy.xlsx!Table4"/>
          <x15:modelTable id="Table1_1" name="Table1_1" connection="WorksheetConnection_urbanthreads_q4_copy.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4" l="1"/>
  <c r="D11" i="14"/>
  <c r="D10" i="14"/>
  <c r="I15" i="14"/>
  <c r="I14" i="14"/>
  <c r="I13" i="14"/>
  <c r="I12" i="14"/>
  <c r="D7" i="14"/>
  <c r="D6" i="14"/>
  <c r="I4" i="14"/>
  <c r="I3" i="14"/>
  <c r="D5" i="14"/>
  <c r="D4" i="14"/>
  <c r="D3" i="14"/>
  <c r="I14" i="9"/>
  <c r="I15" i="9"/>
  <c r="D9" i="14"/>
  <c r="D8" i="14"/>
  <c r="E28" i="12"/>
  <c r="E27" i="12"/>
  <c r="E26" i="12"/>
  <c r="E25" i="12"/>
  <c r="E24" i="12"/>
  <c r="E19" i="12"/>
  <c r="E18" i="12"/>
  <c r="E17" i="12"/>
  <c r="E16" i="12"/>
  <c r="E15" i="12"/>
  <c r="E10" i="12"/>
  <c r="E9" i="12"/>
  <c r="E8" i="12"/>
  <c r="E3" i="12"/>
  <c r="E2" i="12"/>
  <c r="H5" i="9"/>
  <c r="I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72450-CABF-4DE7-A7A3-53FB7F0085D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A39F0A0-2BAE-467A-9CD4-B60F26B4573C}"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73309C4E-B9A5-4184-9CBD-56E35C2742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361FF36-C380-40A6-91F7-8466EC3F6BCF}" name="WorksheetConnection_urbanthreads_q4_copy.xlsx!Table1_1" type="102" refreshedVersion="8" minRefreshableVersion="5">
    <extLst>
      <ext xmlns:x15="http://schemas.microsoft.com/office/spreadsheetml/2010/11/main" uri="{DE250136-89BD-433C-8126-D09CA5730AF9}">
        <x15:connection id="Table1_1" autoDelete="1">
          <x15:rangePr sourceName="_xlcn.WorksheetConnection_urbanthreads_q4_copy.xlsxTable1_11"/>
        </x15:connection>
      </ext>
    </extLst>
  </connection>
  <connection id="5" xr16:uid="{E06815E4-528A-4B01-99D6-8EA118062440}" name="WorksheetConnection_urbanthreads_q4_copy.xlsx!Table4" type="102" refreshedVersion="8" minRefreshableVersion="5">
    <extLst>
      <ext xmlns:x15="http://schemas.microsoft.com/office/spreadsheetml/2010/11/main" uri="{DE250136-89BD-433C-8126-D09CA5730AF9}">
        <x15:connection id="Table4">
          <x15:rangePr sourceName="_xlcn.WorksheetConnection_urbanthreads_q4_copy.xlsxTable41"/>
        </x15:connection>
      </ext>
    </extLst>
  </connection>
</connections>
</file>

<file path=xl/sharedStrings.xml><?xml version="1.0" encoding="utf-8"?>
<sst xmlns="http://schemas.openxmlformats.org/spreadsheetml/2006/main" count="20552" uniqueCount="1708">
  <si>
    <t>Order ID</t>
  </si>
  <si>
    <t>Order Date</t>
  </si>
  <si>
    <t>Customer ID</t>
  </si>
  <si>
    <t>Type</t>
  </si>
  <si>
    <t>SKU</t>
  </si>
  <si>
    <t>Category</t>
  </si>
  <si>
    <t>Product Name</t>
  </si>
  <si>
    <t>Unit Price</t>
  </si>
  <si>
    <t>Qty</t>
  </si>
  <si>
    <t>Total</t>
  </si>
  <si>
    <t>Discount Code</t>
  </si>
  <si>
    <t>Disc %</t>
  </si>
  <si>
    <t>Payment</t>
  </si>
  <si>
    <t>Source</t>
  </si>
  <si>
    <t>City</t>
  </si>
  <si>
    <t>State</t>
  </si>
  <si>
    <t>Warehouse</t>
  </si>
  <si>
    <t>Del Date</t>
  </si>
  <si>
    <t>Status</t>
  </si>
  <si>
    <t>Return?</t>
  </si>
  <si>
    <t>Reason</t>
  </si>
  <si>
    <t>Ret Rec</t>
  </si>
  <si>
    <t>Refund</t>
  </si>
  <si>
    <t>UT-100001</t>
  </si>
  <si>
    <t>01-10-2024</t>
  </si>
  <si>
    <t>CUST_10001</t>
  </si>
  <si>
    <t>New</t>
  </si>
  <si>
    <t>TOP-CAS-M</t>
  </si>
  <si>
    <t>Tops</t>
  </si>
  <si>
    <t>Classic Cotton Tee</t>
  </si>
  <si>
    <t>UPI</t>
  </si>
  <si>
    <t>Website</t>
  </si>
  <si>
    <t>Mumbai</t>
  </si>
  <si>
    <t>Maharashtra</t>
  </si>
  <si>
    <t>05-10-2024</t>
  </si>
  <si>
    <t>Delivered</t>
  </si>
  <si>
    <t>No</t>
  </si>
  <si>
    <t>Not Applicable</t>
  </si>
  <si>
    <t>UT-100002</t>
  </si>
  <si>
    <t>CUST_10002</t>
  </si>
  <si>
    <t>Returning</t>
  </si>
  <si>
    <t>DRS-FRM-S</t>
  </si>
  <si>
    <t>Dresses</t>
  </si>
  <si>
    <t>Floral Midi Dress</t>
  </si>
  <si>
    <t>DIWALI20</t>
  </si>
  <si>
    <t>Credit Card</t>
  </si>
  <si>
    <t>Mobile App</t>
  </si>
  <si>
    <t>Delhi</t>
  </si>
  <si>
    <t>04-10-2024</t>
  </si>
  <si>
    <t>Yes</t>
  </si>
  <si>
    <t>Size Issue</t>
  </si>
  <si>
    <t>15-10-2024</t>
  </si>
  <si>
    <t>Processed</t>
  </si>
  <si>
    <t>UT-100003</t>
  </si>
  <si>
    <t>10-01-2024</t>
  </si>
  <si>
    <t>CUST_10003</t>
  </si>
  <si>
    <t>new</t>
  </si>
  <si>
    <t>BOT-JNS-L</t>
  </si>
  <si>
    <t>Bottoms</t>
  </si>
  <si>
    <t>Slim Fit Jeans</t>
  </si>
  <si>
    <t>COD</t>
  </si>
  <si>
    <t>Bangalore</t>
  </si>
  <si>
    <t>Karnataka</t>
  </si>
  <si>
    <t>06-10-2024</t>
  </si>
  <si>
    <t>UT-100004</t>
  </si>
  <si>
    <t>CUST_10004</t>
  </si>
  <si>
    <t>OUT-JKT-XL</t>
  </si>
  <si>
    <t>Outerwear</t>
  </si>
  <si>
    <t>Denim Jacket</t>
  </si>
  <si>
    <t>FIRST15</t>
  </si>
  <si>
    <t>Debit Card</t>
  </si>
  <si>
    <t>Instagram Shop</t>
  </si>
  <si>
    <t>Chennai</t>
  </si>
  <si>
    <t>Tamil Nadu</t>
  </si>
  <si>
    <t>08-10-2024</t>
  </si>
  <si>
    <t>Quality Defect</t>
  </si>
  <si>
    <t>20-10-2024</t>
  </si>
  <si>
    <t>UT-100005</t>
  </si>
  <si>
    <t>ACC-SCF-OS</t>
  </si>
  <si>
    <t>Accessories</t>
  </si>
  <si>
    <t>Silk Scarf</t>
  </si>
  <si>
    <t>UT-100006</t>
  </si>
  <si>
    <t>02-10-2024</t>
  </si>
  <si>
    <t>CUST_10005</t>
  </si>
  <si>
    <t>TOP-FRM-S</t>
  </si>
  <si>
    <t>Printed Blouse</t>
  </si>
  <si>
    <t>Hyderabad</t>
  </si>
  <si>
    <t>Telangana</t>
  </si>
  <si>
    <t>07-10-2024</t>
  </si>
  <si>
    <t>Changed Mind</t>
  </si>
  <si>
    <t>18-10-2024</t>
  </si>
  <si>
    <t>UT-100007</t>
  </si>
  <si>
    <t>CUST_10006</t>
  </si>
  <si>
    <t>DRS-CAS-M</t>
  </si>
  <si>
    <t>A-Line Dress</t>
  </si>
  <si>
    <t>Pune</t>
  </si>
  <si>
    <t>Cancelled</t>
  </si>
  <si>
    <t>UT-100008</t>
  </si>
  <si>
    <t>CUST_10007</t>
  </si>
  <si>
    <t>BOT-TRS-L</t>
  </si>
  <si>
    <t>Formal Trousers</t>
  </si>
  <si>
    <t>Kolkata</t>
  </si>
  <si>
    <t>West Bengal</t>
  </si>
  <si>
    <t>10-10-2024</t>
  </si>
  <si>
    <t>UT-100009</t>
  </si>
  <si>
    <t>CUST_10008</t>
  </si>
  <si>
    <t>TOP-CAS-XL</t>
  </si>
  <si>
    <t>Oversized Tee</t>
  </si>
  <si>
    <t>Ahmedabad</t>
  </si>
  <si>
    <t>Gujarat</t>
  </si>
  <si>
    <t>09-10-2024</t>
  </si>
  <si>
    <t>22-10-2024</t>
  </si>
  <si>
    <t>UT-100010</t>
  </si>
  <si>
    <t>CUST_10009</t>
  </si>
  <si>
    <t>OUT-BLZ-M</t>
  </si>
  <si>
    <t>Casual Blazer</t>
  </si>
  <si>
    <t>Jaipur</t>
  </si>
  <si>
    <t>Rajasthan</t>
  </si>
  <si>
    <t>11-10-2024</t>
  </si>
  <si>
    <t>Wrong Item</t>
  </si>
  <si>
    <t>25-10-2024</t>
  </si>
  <si>
    <t>Pending</t>
  </si>
  <si>
    <t>UT-100011</t>
  </si>
  <si>
    <t>03-10-2024</t>
  </si>
  <si>
    <t>CUST_10010</t>
  </si>
  <si>
    <t>ACC-BAG-OS</t>
  </si>
  <si>
    <t>Tote Bag</t>
  </si>
  <si>
    <t>FLAT10</t>
  </si>
  <si>
    <t>Wallet</t>
  </si>
  <si>
    <t>Lucknow</t>
  </si>
  <si>
    <t>Uttar Pradesh</t>
  </si>
  <si>
    <t>UT-100012</t>
  </si>
  <si>
    <t>CUST_10011</t>
  </si>
  <si>
    <t>DRS-PRT-S</t>
  </si>
  <si>
    <t>Party Dress</t>
  </si>
  <si>
    <t>Chandigarh</t>
  </si>
  <si>
    <t>Punjab</t>
  </si>
  <si>
    <t>RTO</t>
  </si>
  <si>
    <t>UT-100013</t>
  </si>
  <si>
    <t>CUST_10012</t>
  </si>
  <si>
    <t>TOP-SLK-M</t>
  </si>
  <si>
    <t>Silk Blouse</t>
  </si>
  <si>
    <t>UT-100014</t>
  </si>
  <si>
    <t>CUST_10013</t>
  </si>
  <si>
    <t>BOT-SKT-S</t>
  </si>
  <si>
    <t>Pleated Skirt</t>
  </si>
  <si>
    <t>28-10-2024</t>
  </si>
  <si>
    <t>UT-100015</t>
  </si>
  <si>
    <t>CUST_10014</t>
  </si>
  <si>
    <t>OUT-CRD-L</t>
  </si>
  <si>
    <t>Knit Cardigan</t>
  </si>
  <si>
    <t>12-10-2024</t>
  </si>
  <si>
    <t>UT-100016</t>
  </si>
  <si>
    <t>CUST_10015</t>
  </si>
  <si>
    <t>ACC-JWL-OS</t>
  </si>
  <si>
    <t>Statement Earrings</t>
  </si>
  <si>
    <t>Noida</t>
  </si>
  <si>
    <t>14-10-2024</t>
  </si>
  <si>
    <t>Damaged in Transit</t>
  </si>
  <si>
    <t>26-10-2024</t>
  </si>
  <si>
    <t>UT-100017</t>
  </si>
  <si>
    <t>CUST_10016</t>
  </si>
  <si>
    <t>TOP-CRP-XS</t>
  </si>
  <si>
    <t>Crop Top</t>
  </si>
  <si>
    <t>Gurgaon</t>
  </si>
  <si>
    <t>Haryana</t>
  </si>
  <si>
    <t>Delievered</t>
  </si>
  <si>
    <t>UT-100018</t>
  </si>
  <si>
    <t>CUST_10017</t>
  </si>
  <si>
    <t>DRS-MAX-M</t>
  </si>
  <si>
    <t>Maxi Dress</t>
  </si>
  <si>
    <t>Indore</t>
  </si>
  <si>
    <t>Madhya Pradesh</t>
  </si>
  <si>
    <t>UT-100019</t>
  </si>
  <si>
    <t>CUST_10018</t>
  </si>
  <si>
    <t>BOT-JGR-M</t>
  </si>
  <si>
    <t>Joggers</t>
  </si>
  <si>
    <t>Surat</t>
  </si>
  <si>
    <t>13-10-2024</t>
  </si>
  <si>
    <t>30-10-2024</t>
  </si>
  <si>
    <t>UT-100020</t>
  </si>
  <si>
    <t>CUST_10019</t>
  </si>
  <si>
    <t>OUT-VST-S</t>
  </si>
  <si>
    <t>Puffer Vest</t>
  </si>
  <si>
    <t>Patna</t>
  </si>
  <si>
    <t>Bihar</t>
  </si>
  <si>
    <t>UT-100021</t>
  </si>
  <si>
    <t>CUST_10020</t>
  </si>
  <si>
    <t>TOP-TUN-L</t>
  </si>
  <si>
    <t>Tunic Top</t>
  </si>
  <si>
    <t>Bhopal</t>
  </si>
  <si>
    <t>UT-100022</t>
  </si>
  <si>
    <t>CUST_10021</t>
  </si>
  <si>
    <t>DRS-SHT-XS</t>
  </si>
  <si>
    <t>Shirt Dress</t>
  </si>
  <si>
    <t>Nagpur</t>
  </si>
  <si>
    <t>16-10-2024</t>
  </si>
  <si>
    <t>02-11-2024</t>
  </si>
  <si>
    <t>UT-100023</t>
  </si>
  <si>
    <t>CUST_10022</t>
  </si>
  <si>
    <t>ACC-BLT-M</t>
  </si>
  <si>
    <t>Leather Belt</t>
  </si>
  <si>
    <t>Coimbatore</t>
  </si>
  <si>
    <t>17-10-2024</t>
  </si>
  <si>
    <t>UT-100024</t>
  </si>
  <si>
    <t>CUST_10023</t>
  </si>
  <si>
    <t>BOT-SHT-M</t>
  </si>
  <si>
    <t>Cotton Shorts</t>
  </si>
  <si>
    <t>Kochi</t>
  </si>
  <si>
    <t>Kerala</t>
  </si>
  <si>
    <t>05-11-2024</t>
  </si>
  <si>
    <t>UT-100025</t>
  </si>
  <si>
    <t>CUST_10024</t>
  </si>
  <si>
    <t>TOP-PLO-L</t>
  </si>
  <si>
    <t>Polo Shirt</t>
  </si>
  <si>
    <t>Vizag</t>
  </si>
  <si>
    <t>Andhra Pradesh</t>
  </si>
  <si>
    <t>UT-100026</t>
  </si>
  <si>
    <t>CUST_10025</t>
  </si>
  <si>
    <t>DRS-WRK-M</t>
  </si>
  <si>
    <t>Work Dress</t>
  </si>
  <si>
    <t>Thiruvananthapuram</t>
  </si>
  <si>
    <t>UT-100027</t>
  </si>
  <si>
    <t>CUST_10026</t>
  </si>
  <si>
    <t>OUT-TRN-L</t>
  </si>
  <si>
    <t>Trench Coat</t>
  </si>
  <si>
    <t>Mysore</t>
  </si>
  <si>
    <t>19-10-2024</t>
  </si>
  <si>
    <t>08-11-2024</t>
  </si>
  <si>
    <t>UT-100028</t>
  </si>
  <si>
    <t>CUST_10027</t>
  </si>
  <si>
    <t>ACC-HAT-OS</t>
  </si>
  <si>
    <t>Fedora Hat</t>
  </si>
  <si>
    <t>Vadodara</t>
  </si>
  <si>
    <t>UT-100029</t>
  </si>
  <si>
    <t>CUST_10028</t>
  </si>
  <si>
    <t>TOP-DNM-M</t>
  </si>
  <si>
    <t>Denim Shirt</t>
  </si>
  <si>
    <t>Rajkot</t>
  </si>
  <si>
    <t>UT-100030</t>
  </si>
  <si>
    <t>CUST_10029</t>
  </si>
  <si>
    <t>BOT-CRG-L</t>
  </si>
  <si>
    <t>Cargo Pants</t>
  </si>
  <si>
    <t>Kanpur</t>
  </si>
  <si>
    <t>UT-100031</t>
  </si>
  <si>
    <t>CUST_10030</t>
  </si>
  <si>
    <t>DRS-EVE-S</t>
  </si>
  <si>
    <t>Evening Gown</t>
  </si>
  <si>
    <t>21-10-2024</t>
  </si>
  <si>
    <t>10-11-2024</t>
  </si>
  <si>
    <t>UT-100032</t>
  </si>
  <si>
    <t>CUST_10031</t>
  </si>
  <si>
    <t>TOP-BAS-M</t>
  </si>
  <si>
    <t>Basic Tank</t>
  </si>
  <si>
    <t>UT-100033</t>
  </si>
  <si>
    <t>CUST_10032</t>
  </si>
  <si>
    <t>OUT-WOL-L</t>
  </si>
  <si>
    <t>Wool Coat</t>
  </si>
  <si>
    <t>UT-100034</t>
  </si>
  <si>
    <t>CUST_10033</t>
  </si>
  <si>
    <t>ACC-WCH-OS</t>
  </si>
  <si>
    <t>Fashion Watch</t>
  </si>
  <si>
    <t>UT-100035</t>
  </si>
  <si>
    <t>CUST_10034</t>
  </si>
  <si>
    <t>BOT-DNM-S</t>
  </si>
  <si>
    <t>Denim Shorts</t>
  </si>
  <si>
    <t>UT-100036</t>
  </si>
  <si>
    <t>CUST_10035</t>
  </si>
  <si>
    <t>DRS-SUN-M</t>
  </si>
  <si>
    <t>Sundress</t>
  </si>
  <si>
    <t>UT-100037</t>
  </si>
  <si>
    <t>CUST_10036</t>
  </si>
  <si>
    <t>TOP-RFL-S</t>
  </si>
  <si>
    <t>Ruffle Top</t>
  </si>
  <si>
    <t>12-11-2024</t>
  </si>
  <si>
    <t>UT-100038</t>
  </si>
  <si>
    <t>CUST_10037</t>
  </si>
  <si>
    <t>OUT-LTH-M</t>
  </si>
  <si>
    <t>Leather Jacket</t>
  </si>
  <si>
    <t>UT-100039</t>
  </si>
  <si>
    <t>CUST_10038</t>
  </si>
  <si>
    <t>ACC-SNG-OS</t>
  </si>
  <si>
    <t>Sunglasses</t>
  </si>
  <si>
    <t>UT-100040</t>
  </si>
  <si>
    <t>CUST_10039</t>
  </si>
  <si>
    <t>BOT-PLZ-L</t>
  </si>
  <si>
    <t>Palazzo Pants</t>
  </si>
  <si>
    <t>UT-100041</t>
  </si>
  <si>
    <t>CUST_10040</t>
  </si>
  <si>
    <t>DRS-BDC-S</t>
  </si>
  <si>
    <t>Bodycon Dress</t>
  </si>
  <si>
    <t>UT-100042</t>
  </si>
  <si>
    <t>CUST_10041</t>
  </si>
  <si>
    <t>TOP-OFF-M</t>
  </si>
  <si>
    <t>Off-Shoulder Top</t>
  </si>
  <si>
    <t>UT-100043</t>
  </si>
  <si>
    <t>CUST_10042</t>
  </si>
  <si>
    <t>OUT-DNM-L</t>
  </si>
  <si>
    <t>Denim Vest</t>
  </si>
  <si>
    <t>UT-100044</t>
  </si>
  <si>
    <t>CUST_10043</t>
  </si>
  <si>
    <t>ACC-HBG-OS</t>
  </si>
  <si>
    <t>Hobo Bag</t>
  </si>
  <si>
    <t>UT-100045</t>
  </si>
  <si>
    <t>CUST_10044</t>
  </si>
  <si>
    <t>BOT-CHP-M</t>
  </si>
  <si>
    <t>Chino Pants</t>
  </si>
  <si>
    <t>UT-100046</t>
  </si>
  <si>
    <t>CUST_10045</t>
  </si>
  <si>
    <t>DRS-WRP-M</t>
  </si>
  <si>
    <t>Wrap Dress</t>
  </si>
  <si>
    <t>UT-100047</t>
  </si>
  <si>
    <t>CUST_10046</t>
  </si>
  <si>
    <t>TOP-STR-S</t>
  </si>
  <si>
    <t>Striped Tee</t>
  </si>
  <si>
    <t>UT-100048</t>
  </si>
  <si>
    <t>CUST_10047</t>
  </si>
  <si>
    <t>OUT-PRK-XL</t>
  </si>
  <si>
    <t>Parka Jacket</t>
  </si>
  <si>
    <t>15-11-2024</t>
  </si>
  <si>
    <t>UT-100049</t>
  </si>
  <si>
    <t>CUST_10048</t>
  </si>
  <si>
    <t>ACC-EAR-OS</t>
  </si>
  <si>
    <t>Hoop Earrings</t>
  </si>
  <si>
    <t>UT-100050</t>
  </si>
  <si>
    <t>CUST_10049</t>
  </si>
  <si>
    <t>BOT-LGN-S</t>
  </si>
  <si>
    <t>Leggings</t>
  </si>
  <si>
    <t>UT-100051</t>
  </si>
  <si>
    <t>CUST_10050</t>
  </si>
  <si>
    <t>DRS-CTN-L</t>
  </si>
  <si>
    <t>Cotton Dress</t>
  </si>
  <si>
    <t>14-11-2024</t>
  </si>
  <si>
    <t>UT-100052</t>
  </si>
  <si>
    <t>CUST_10051</t>
  </si>
  <si>
    <t>TOP-LCE-M</t>
  </si>
  <si>
    <t>Lace Top</t>
  </si>
  <si>
    <t>UT-100053</t>
  </si>
  <si>
    <t>CUST_10052</t>
  </si>
  <si>
    <t>OUT-BOM-M</t>
  </si>
  <si>
    <t>Bomber Jacket</t>
  </si>
  <si>
    <t>23-10-2024</t>
  </si>
  <si>
    <t>18-11-2024</t>
  </si>
  <si>
    <t>UT-100054</t>
  </si>
  <si>
    <t>CUST_10053</t>
  </si>
  <si>
    <t>ACC-NCK-OS</t>
  </si>
  <si>
    <t>Pendant Necklace</t>
  </si>
  <si>
    <t>UT-100055</t>
  </si>
  <si>
    <t>CUST_10054</t>
  </si>
  <si>
    <t>BOT-WID-M</t>
  </si>
  <si>
    <t>Wide Leg Pants</t>
  </si>
  <si>
    <t>24-10-2024</t>
  </si>
  <si>
    <t>UT-100056</t>
  </si>
  <si>
    <t>CUST_10055</t>
  </si>
  <si>
    <t>DRS-TIR-S</t>
  </si>
  <si>
    <t>Tiered Dress</t>
  </si>
  <si>
    <t>16-11-2024</t>
  </si>
  <si>
    <t>UT-100057</t>
  </si>
  <si>
    <t>CUST_10056</t>
  </si>
  <si>
    <t>TOP-PEP-M</t>
  </si>
  <si>
    <t>Peplum Top</t>
  </si>
  <si>
    <t>UT-100058</t>
  </si>
  <si>
    <t>CUST_10057</t>
  </si>
  <si>
    <t>OUT-QTD-L</t>
  </si>
  <si>
    <t>Quilted Jacket</t>
  </si>
  <si>
    <t>20-11-2024</t>
  </si>
  <si>
    <t>UT-100059</t>
  </si>
  <si>
    <t>CUST_10058</t>
  </si>
  <si>
    <t>ACC-BRC-OS</t>
  </si>
  <si>
    <t>Charm Bracelet</t>
  </si>
  <si>
    <t>UT-100060</t>
  </si>
  <si>
    <t>CUST_10059</t>
  </si>
  <si>
    <t>BOT-CRP-S</t>
  </si>
  <si>
    <t>Cropped Pants</t>
  </si>
  <si>
    <t>UT-100061</t>
  </si>
  <si>
    <t>CUST_10060</t>
  </si>
  <si>
    <t>DRS-SLP-M</t>
  </si>
  <si>
    <t>Slip Dress</t>
  </si>
  <si>
    <t>22-11-2024</t>
  </si>
  <si>
    <t>UT-100062</t>
  </si>
  <si>
    <t>CUST_10061</t>
  </si>
  <si>
    <t>TOP-HLT-L</t>
  </si>
  <si>
    <t>Halter Top</t>
  </si>
  <si>
    <t>UT-100063</t>
  </si>
  <si>
    <t>CUST_10062</t>
  </si>
  <si>
    <t>OUT-FLC-M</t>
  </si>
  <si>
    <t>Fleece Jacket</t>
  </si>
  <si>
    <t>27-10-2024</t>
  </si>
  <si>
    <t>24-11-2024</t>
  </si>
  <si>
    <t>UT-100064</t>
  </si>
  <si>
    <t>CUST_10063</t>
  </si>
  <si>
    <t>ACC-RNG-OS</t>
  </si>
  <si>
    <t>Cocktail Ring</t>
  </si>
  <si>
    <t>UT-100065</t>
  </si>
  <si>
    <t>CUST_10064</t>
  </si>
  <si>
    <t>BOT-SKN-M</t>
  </si>
  <si>
    <t>Skinny Jeans</t>
  </si>
  <si>
    <t>25-11-2024</t>
  </si>
  <si>
    <t>UT-100066</t>
  </si>
  <si>
    <t>CUST_10065</t>
  </si>
  <si>
    <t>DRS-KNT-S</t>
  </si>
  <si>
    <t>Knit Dress</t>
  </si>
  <si>
    <t>UT-100067</t>
  </si>
  <si>
    <t>CUST_10066</t>
  </si>
  <si>
    <t>TOP-EMB-M</t>
  </si>
  <si>
    <t>Embroidered Top</t>
  </si>
  <si>
    <t>UT-100068</t>
  </si>
  <si>
    <t>CUST_10067</t>
  </si>
  <si>
    <t>OUT-SHR-L</t>
  </si>
  <si>
    <t>Shrug</t>
  </si>
  <si>
    <t>UT-100069</t>
  </si>
  <si>
    <t>CUST_10068</t>
  </si>
  <si>
    <t>ACC-CLT-OS</t>
  </si>
  <si>
    <t>Clutch Bag</t>
  </si>
  <si>
    <t>UT-100070</t>
  </si>
  <si>
    <t>CUST_10069</t>
  </si>
  <si>
    <t>BOT-FLR-S</t>
  </si>
  <si>
    <t>Flared Jeans</t>
  </si>
  <si>
    <t>29-10-2024</t>
  </si>
  <si>
    <t>UT-100071</t>
  </si>
  <si>
    <t>CUST_10070</t>
  </si>
  <si>
    <t>DRS-PIN-M</t>
  </si>
  <si>
    <t>Pinafore Dress</t>
  </si>
  <si>
    <t>UT-100072</t>
  </si>
  <si>
    <t>CUST_10071</t>
  </si>
  <si>
    <t>TOP-CRW-L</t>
  </si>
  <si>
    <t>Crew Neck Tee</t>
  </si>
  <si>
    <t>UT-100073</t>
  </si>
  <si>
    <t>CUST_10072</t>
  </si>
  <si>
    <t>OUT-CDG-M</t>
  </si>
  <si>
    <t>Cardigan</t>
  </si>
  <si>
    <t>26-11-2024</t>
  </si>
  <si>
    <t>UT-100074</t>
  </si>
  <si>
    <t>CUST_10073</t>
  </si>
  <si>
    <t>ACC-SCR-OS</t>
  </si>
  <si>
    <t>Hair Scrunchie</t>
  </si>
  <si>
    <t>UT-100075</t>
  </si>
  <si>
    <t>CUST_10074</t>
  </si>
  <si>
    <t>BOT-PPR-M</t>
  </si>
  <si>
    <t>Paper Bag Pants</t>
  </si>
  <si>
    <t>28-11-2024</t>
  </si>
  <si>
    <t>UT-100076</t>
  </si>
  <si>
    <t>CUST_10075</t>
  </si>
  <si>
    <t>DRS-SMK-S</t>
  </si>
  <si>
    <t>Smocked Dress</t>
  </si>
  <si>
    <t>31-10-2024</t>
  </si>
  <si>
    <t>UT-100077</t>
  </si>
  <si>
    <t>CUST_10076</t>
  </si>
  <si>
    <t>TOP-BTN-M</t>
  </si>
  <si>
    <t>Button-Down Shirt</t>
  </si>
  <si>
    <t>UT-100078</t>
  </si>
  <si>
    <t>CUST_10077</t>
  </si>
  <si>
    <t>OUT-VLV-L</t>
  </si>
  <si>
    <t>Velvet Blazer</t>
  </si>
  <si>
    <t>01-11-2024</t>
  </si>
  <si>
    <t>UT-100079</t>
  </si>
  <si>
    <t>CUST_10078</t>
  </si>
  <si>
    <t>ACC-TOT-OS</t>
  </si>
  <si>
    <t>Canvas Tote</t>
  </si>
  <si>
    <t>UT-100080</t>
  </si>
  <si>
    <t>CUST_10079</t>
  </si>
  <si>
    <t>BOT-CRG-S</t>
  </si>
  <si>
    <t>Cargo Shorts</t>
  </si>
  <si>
    <t>UT-100081</t>
  </si>
  <si>
    <t>CUST_10080</t>
  </si>
  <si>
    <t>DRS-BTR-M</t>
  </si>
  <si>
    <t>Butterfly Dress</t>
  </si>
  <si>
    <t>30-11-2024</t>
  </si>
  <si>
    <t>UT-100082</t>
  </si>
  <si>
    <t>CUST_10081</t>
  </si>
  <si>
    <t>TOP-VNK-L</t>
  </si>
  <si>
    <t>V-Neck Tee</t>
  </si>
  <si>
    <t>UT-100083</t>
  </si>
  <si>
    <t>CUST_10082</t>
  </si>
  <si>
    <t>OUT-TRN-M</t>
  </si>
  <si>
    <t>03-11-2024</t>
  </si>
  <si>
    <t>01-12-2024</t>
  </si>
  <si>
    <t>UT-100084</t>
  </si>
  <si>
    <t>CUST_10083</t>
  </si>
  <si>
    <t>ACC-BDY-OS</t>
  </si>
  <si>
    <t>Body Chain</t>
  </si>
  <si>
    <t>UT-100085</t>
  </si>
  <si>
    <t>CUST_10084</t>
  </si>
  <si>
    <t>BOT-JGR-L</t>
  </si>
  <si>
    <t>Jogger Pants</t>
  </si>
  <si>
    <t>UT-100086</t>
  </si>
  <si>
    <t>CUST_10085</t>
  </si>
  <si>
    <t>DRS-RFL-S</t>
  </si>
  <si>
    <t>Ruffle Dress</t>
  </si>
  <si>
    <t>UT-100087</t>
  </si>
  <si>
    <t>CUST_10086</t>
  </si>
  <si>
    <t>TOP-SQR-M</t>
  </si>
  <si>
    <t>Square Neck Top</t>
  </si>
  <si>
    <t>UT-100088</t>
  </si>
  <si>
    <t>CUST_10087</t>
  </si>
  <si>
    <t>OUT-WND-L</t>
  </si>
  <si>
    <t>Windbreaker</t>
  </si>
  <si>
    <t>04-11-2024</t>
  </si>
  <si>
    <t>03-12-2024</t>
  </si>
  <si>
    <t>UT-100089</t>
  </si>
  <si>
    <t>CUST_10088</t>
  </si>
  <si>
    <t>ACC-ANK-OS</t>
  </si>
  <si>
    <t>Anklet</t>
  </si>
  <si>
    <t>UT-100090</t>
  </si>
  <si>
    <t>CUST_10089</t>
  </si>
  <si>
    <t>BOT-TRS-M</t>
  </si>
  <si>
    <t>Tailored Trousers</t>
  </si>
  <si>
    <t>UT-100091</t>
  </si>
  <si>
    <t>CUST_10090</t>
  </si>
  <si>
    <t>DRS-LST-M</t>
  </si>
  <si>
    <t>Lace Trim Dress</t>
  </si>
  <si>
    <t>UT-100092</t>
  </si>
  <si>
    <t>CUST_10091</t>
  </si>
  <si>
    <t>TOP-TIE-S</t>
  </si>
  <si>
    <t>Tie-Front Top</t>
  </si>
  <si>
    <t>02-12-2024</t>
  </si>
  <si>
    <t>UT-100093</t>
  </si>
  <si>
    <t>CUST_10092</t>
  </si>
  <si>
    <t>OUT-PUF-M</t>
  </si>
  <si>
    <t>Puffer Jacket</t>
  </si>
  <si>
    <t>UT-100094</t>
  </si>
  <si>
    <t>CUST_10093</t>
  </si>
  <si>
    <t>ACC-HDR-OS</t>
  </si>
  <si>
    <t>Hairband</t>
  </si>
  <si>
    <t>UT-100095</t>
  </si>
  <si>
    <t>CUST_10094</t>
  </si>
  <si>
    <t>BOT-PLT-L</t>
  </si>
  <si>
    <t>Pleated Trousers</t>
  </si>
  <si>
    <t>05-12-2024</t>
  </si>
  <si>
    <t>UT-100096</t>
  </si>
  <si>
    <t>CUST_10095</t>
  </si>
  <si>
    <t>DRS-SHR-S</t>
  </si>
  <si>
    <t>Shirtdress</t>
  </si>
  <si>
    <t>UT-100097</t>
  </si>
  <si>
    <t>CUST_10096</t>
  </si>
  <si>
    <t>TOP-GRF-M</t>
  </si>
  <si>
    <t>Graphic Tee</t>
  </si>
  <si>
    <t>06-11-2024</t>
  </si>
  <si>
    <t>UT-100098</t>
  </si>
  <si>
    <t>CUST_10097</t>
  </si>
  <si>
    <t>OUT-SHW-L</t>
  </si>
  <si>
    <t>Shawl Wrap</t>
  </si>
  <si>
    <t>UT-100099</t>
  </si>
  <si>
    <t>CUST_10098</t>
  </si>
  <si>
    <t>ACC-BLT-S</t>
  </si>
  <si>
    <t>Braided Belt</t>
  </si>
  <si>
    <t>UT-100100</t>
  </si>
  <si>
    <t>CUST_10099</t>
  </si>
  <si>
    <t>BOT-CUT-M</t>
  </si>
  <si>
    <t>Culottes</t>
  </si>
  <si>
    <t>07-11-2024</t>
  </si>
  <si>
    <t>06-12-2024</t>
  </si>
  <si>
    <t>UT-100101</t>
  </si>
  <si>
    <t>CUST_10100</t>
  </si>
  <si>
    <t>DRS-MXI-L</t>
  </si>
  <si>
    <t>UT-100102</t>
  </si>
  <si>
    <t>CUST_10101</t>
  </si>
  <si>
    <t>TOP-SLV-S</t>
  </si>
  <si>
    <t>Sleeveless Top</t>
  </si>
  <si>
    <t>04-12-2024</t>
  </si>
  <si>
    <t>UT-100103</t>
  </si>
  <si>
    <t>CUST_10102</t>
  </si>
  <si>
    <t>OUT-CPE-M</t>
  </si>
  <si>
    <t>Cape Coat</t>
  </si>
  <si>
    <t>UT-100104</t>
  </si>
  <si>
    <t>CUST_10103</t>
  </si>
  <si>
    <t>ACC-SHD-OS</t>
  </si>
  <si>
    <t>Shoulder Bag</t>
  </si>
  <si>
    <t>UT-100105</t>
  </si>
  <si>
    <t>CUST_10104</t>
  </si>
  <si>
    <t>BOT-STR-L</t>
  </si>
  <si>
    <t>Straight Pants</t>
  </si>
  <si>
    <t>07-12-2024</t>
  </si>
  <si>
    <t>UT-100106</t>
  </si>
  <si>
    <t>CUST_10105</t>
  </si>
  <si>
    <t>DRS-FIT-S</t>
  </si>
  <si>
    <t>Fit &amp; Flare Dress</t>
  </si>
  <si>
    <t>UT-100107</t>
  </si>
  <si>
    <t>CUST_10106</t>
  </si>
  <si>
    <t>TOP-CWL-M</t>
  </si>
  <si>
    <t>Cowl Neck Top</t>
  </si>
  <si>
    <t>UT-100108</t>
  </si>
  <si>
    <t>CUST_10107</t>
  </si>
  <si>
    <t>OUT-BLR-L</t>
  </si>
  <si>
    <t>Blazer</t>
  </si>
  <si>
    <t>09-11-2024</t>
  </si>
  <si>
    <t>UT-100109</t>
  </si>
  <si>
    <t>CUST_10108</t>
  </si>
  <si>
    <t>ACC-CFF-OS</t>
  </si>
  <si>
    <t>Cuff Bracelet</t>
  </si>
  <si>
    <t>UT-100110</t>
  </si>
  <si>
    <t>CUST_10109</t>
  </si>
  <si>
    <t>BOT-HRM-M</t>
  </si>
  <si>
    <t>Harem Pants</t>
  </si>
  <si>
    <t>UT-100111</t>
  </si>
  <si>
    <t>CUST_10110</t>
  </si>
  <si>
    <t>DRS-FES-M</t>
  </si>
  <si>
    <t>Festive Kurta Set</t>
  </si>
  <si>
    <t>DIWALI40</t>
  </si>
  <si>
    <t>UT-100112</t>
  </si>
  <si>
    <t>CUST_10111</t>
  </si>
  <si>
    <t>OUT-ETH-L</t>
  </si>
  <si>
    <t>Embroidered Jacket</t>
  </si>
  <si>
    <t>UT-100113</t>
  </si>
  <si>
    <t>CUST_10112</t>
  </si>
  <si>
    <t>TOP-FES-S</t>
  </si>
  <si>
    <t>Festive Blouse</t>
  </si>
  <si>
    <t>UT-100114</t>
  </si>
  <si>
    <t>CUST_10113</t>
  </si>
  <si>
    <t>Festive Clutch</t>
  </si>
  <si>
    <t>UT-100115</t>
  </si>
  <si>
    <t>CUST_10114</t>
  </si>
  <si>
    <t>BOT-ETH-M</t>
  </si>
  <si>
    <t>UT-100116</t>
  </si>
  <si>
    <t>CUST_10115</t>
  </si>
  <si>
    <t>DRS-ANK-S</t>
  </si>
  <si>
    <t>Anarkali Dress</t>
  </si>
  <si>
    <t>UT-100117</t>
  </si>
  <si>
    <t>CUST_10116</t>
  </si>
  <si>
    <t>TOP-ETH-M</t>
  </si>
  <si>
    <t>Embroidered Kurti</t>
  </si>
  <si>
    <t>UT-100118</t>
  </si>
  <si>
    <t>CUST_10117</t>
  </si>
  <si>
    <t>Pashmina Shawl</t>
  </si>
  <si>
    <t>Amritsar</t>
  </si>
  <si>
    <t>UT-100119</t>
  </si>
  <si>
    <t>CUST_10118</t>
  </si>
  <si>
    <t>DRS-LHG-M</t>
  </si>
  <si>
    <t>Lehenga Set</t>
  </si>
  <si>
    <t>UT-100120</t>
  </si>
  <si>
    <t>CUST_10119</t>
  </si>
  <si>
    <t>ACC-STL-OS</t>
  </si>
  <si>
    <t>Statement Necklace</t>
  </si>
  <si>
    <t>UT-100121</t>
  </si>
  <si>
    <t>CUST_10120</t>
  </si>
  <si>
    <t>TOP-SQN-S</t>
  </si>
  <si>
    <t>Sequin Top</t>
  </si>
  <si>
    <t>UT-100122</t>
  </si>
  <si>
    <t>CUST_10121</t>
  </si>
  <si>
    <t>BOT-LHG-S</t>
  </si>
  <si>
    <t>Lehenga Skirt</t>
  </si>
  <si>
    <t>UT-100123</t>
  </si>
  <si>
    <t>CUST_10122</t>
  </si>
  <si>
    <t>DRS-SAR-M</t>
  </si>
  <si>
    <t>Saree Gown</t>
  </si>
  <si>
    <t>UT-100124</t>
  </si>
  <si>
    <t>CUST_10123</t>
  </si>
  <si>
    <t>OUT-BLS-M</t>
  </si>
  <si>
    <t>Brocade Blazer</t>
  </si>
  <si>
    <t>UT-100125</t>
  </si>
  <si>
    <t>CUST_10124</t>
  </si>
  <si>
    <t>ACC-MNG-OS</t>
  </si>
  <si>
    <t>Maang Tikka Set</t>
  </si>
  <si>
    <t>Varanasi</t>
  </si>
  <si>
    <t>UT-100126</t>
  </si>
  <si>
    <t>CUST_10125</t>
  </si>
  <si>
    <t>TOP-ZAR-L</t>
  </si>
  <si>
    <t>Zardozi Blouse</t>
  </si>
  <si>
    <t>UT-100127</t>
  </si>
  <si>
    <t>CUST_10126</t>
  </si>
  <si>
    <t>DRS-FES-L</t>
  </si>
  <si>
    <t>Festive Gown</t>
  </si>
  <si>
    <t>11-11-2024</t>
  </si>
  <si>
    <t>UT-100128</t>
  </si>
  <si>
    <t>CUST_10127</t>
  </si>
  <si>
    <t>BOT-SLK-M</t>
  </si>
  <si>
    <t>Silk Pants</t>
  </si>
  <si>
    <t>UT-100129</t>
  </si>
  <si>
    <t>CUST_10128</t>
  </si>
  <si>
    <t>Velvet Jacket</t>
  </si>
  <si>
    <t>13-11-2024</t>
  </si>
  <si>
    <t>08-12-2024</t>
  </si>
  <si>
    <t>UT-100130</t>
  </si>
  <si>
    <t>CUST_10129</t>
  </si>
  <si>
    <t>ACC-TKA-OS</t>
  </si>
  <si>
    <t>Tikka Headpiece</t>
  </si>
  <si>
    <t>UT-100131</t>
  </si>
  <si>
    <t>CUST_10130</t>
  </si>
  <si>
    <t>TOP-GOT-S</t>
  </si>
  <si>
    <t>Gota Patti Top</t>
  </si>
  <si>
    <t>UT-100132</t>
  </si>
  <si>
    <t>CUST_10131</t>
  </si>
  <si>
    <t>DRS-BND-M</t>
  </si>
  <si>
    <t>Bandhani Dress</t>
  </si>
  <si>
    <t>UT-100133</t>
  </si>
  <si>
    <t>CUST_10132</t>
  </si>
  <si>
    <t>BOT-BRC-L</t>
  </si>
  <si>
    <t>Brocade Pants</t>
  </si>
  <si>
    <t>UT-100134</t>
  </si>
  <si>
    <t>CUST_10133</t>
  </si>
  <si>
    <t>OUT-ZRI-M</t>
  </si>
  <si>
    <t>Zari Work Jacket</t>
  </si>
  <si>
    <t>10-12-2024</t>
  </si>
  <si>
    <t>UT-100135</t>
  </si>
  <si>
    <t>CUST_10134</t>
  </si>
  <si>
    <t>ACC-JHM-OS</t>
  </si>
  <si>
    <t>Jhumka Earrings</t>
  </si>
  <si>
    <t>UT-100136</t>
  </si>
  <si>
    <t>CUST_10135</t>
  </si>
  <si>
    <t>TOP-MRR-S</t>
  </si>
  <si>
    <t>Mirror Work Top</t>
  </si>
  <si>
    <t>UT-100137</t>
  </si>
  <si>
    <t>CUST_10136</t>
  </si>
  <si>
    <t>DRS-PTL-M</t>
  </si>
  <si>
    <t>Patiala Suit</t>
  </si>
  <si>
    <t>12-12-2024</t>
  </si>
  <si>
    <t>UT-100138</t>
  </si>
  <si>
    <t>CUST_10137</t>
  </si>
  <si>
    <t>BOT-DHT-L</t>
  </si>
  <si>
    <t>Dhoti Pants</t>
  </si>
  <si>
    <t>UT-100139</t>
  </si>
  <si>
    <t>CUST_10138</t>
  </si>
  <si>
    <t>OUT-KTN-M</t>
  </si>
  <si>
    <t>Katan Silk Jacket</t>
  </si>
  <si>
    <t>14-12-2024</t>
  </si>
  <si>
    <t>UT-100140</t>
  </si>
  <si>
    <t>CUST_10139</t>
  </si>
  <si>
    <t>ACC-KDN-OS</t>
  </si>
  <si>
    <t>Kundan Set</t>
  </si>
  <si>
    <t>UT-100141</t>
  </si>
  <si>
    <t>CUST_10140</t>
  </si>
  <si>
    <t>TOP-CHK-L</t>
  </si>
  <si>
    <t>Chikankari Top</t>
  </si>
  <si>
    <t>13-12-2024</t>
  </si>
  <si>
    <t>UT-100142</t>
  </si>
  <si>
    <t>CUST_10141</t>
  </si>
  <si>
    <t>Sharara Set</t>
  </si>
  <si>
    <t>15-12-2024</t>
  </si>
  <si>
    <t>UT-100143</t>
  </si>
  <si>
    <t>CUST_10142</t>
  </si>
  <si>
    <t>BOT-GRR-M</t>
  </si>
  <si>
    <t>Gharara Pants</t>
  </si>
  <si>
    <t>UT-100144</t>
  </si>
  <si>
    <t>CUST_10143</t>
  </si>
  <si>
    <t>OUT-PHU-L</t>
  </si>
  <si>
    <t>Phulkari Jacket</t>
  </si>
  <si>
    <t>17-11-2024</t>
  </si>
  <si>
    <t>16-12-2024</t>
  </si>
  <si>
    <t>UT-100145</t>
  </si>
  <si>
    <t>CUST_10144</t>
  </si>
  <si>
    <t>ACC-MNP-OS</t>
  </si>
  <si>
    <t>Mang Patti</t>
  </si>
  <si>
    <t>UT-100146</t>
  </si>
  <si>
    <t>CUST_10145</t>
  </si>
  <si>
    <t>TOP-BND-S</t>
  </si>
  <si>
    <t>Bandhej Top</t>
  </si>
  <si>
    <t>UT-100147</t>
  </si>
  <si>
    <t>CUST_10146</t>
  </si>
  <si>
    <t>DRS-LKH-M</t>
  </si>
  <si>
    <t>Lucknowi Dress</t>
  </si>
  <si>
    <t>17-12-2024</t>
  </si>
  <si>
    <t>UT-100148</t>
  </si>
  <si>
    <t>CUST_10147</t>
  </si>
  <si>
    <t>BOT-PTL-L</t>
  </si>
  <si>
    <t>Patiala Pants</t>
  </si>
  <si>
    <t>UT-100149</t>
  </si>
  <si>
    <t>CUST_10148</t>
  </si>
  <si>
    <t>OUT-KTH-M</t>
  </si>
  <si>
    <t>Katha Work Jacket</t>
  </si>
  <si>
    <t>19-11-2024</t>
  </si>
  <si>
    <t>18-12-2024</t>
  </si>
  <si>
    <t>UT-100150</t>
  </si>
  <si>
    <t>CUST_10149</t>
  </si>
  <si>
    <t>ACC-BNG-OS</t>
  </si>
  <si>
    <t>Bangle Set</t>
  </si>
  <si>
    <t>UT-100151</t>
  </si>
  <si>
    <t>CUST_10150</t>
  </si>
  <si>
    <t>TOP-KSH-L</t>
  </si>
  <si>
    <t>Kashmiri Top</t>
  </si>
  <si>
    <t>UT-100152</t>
  </si>
  <si>
    <t>CUST_10151</t>
  </si>
  <si>
    <t>DRS-IDR-S</t>
  </si>
  <si>
    <t>Ikat Dress</t>
  </si>
  <si>
    <t>UT-100153</t>
  </si>
  <si>
    <t>CUST_10152</t>
  </si>
  <si>
    <t>BOT-KLN-M</t>
  </si>
  <si>
    <t>Kalamkari Pants</t>
  </si>
  <si>
    <t>Nov-15</t>
  </si>
  <si>
    <t>UT-100154</t>
  </si>
  <si>
    <t>CUST_10153</t>
  </si>
  <si>
    <t>OUT-JQD-L</t>
  </si>
  <si>
    <t>Jacquard Jacket</t>
  </si>
  <si>
    <t>21-11-2024</t>
  </si>
  <si>
    <t>20-12-2024</t>
  </si>
  <si>
    <t>UT-100155</t>
  </si>
  <si>
    <t>CUST_10154</t>
  </si>
  <si>
    <t>ACC-CHN-OS</t>
  </si>
  <si>
    <t>Choker Necklace</t>
  </si>
  <si>
    <t>UT-100156</t>
  </si>
  <si>
    <t>CUST_10155</t>
  </si>
  <si>
    <t>TOP-AJR-M</t>
  </si>
  <si>
    <t>Ajrakh Print Top</t>
  </si>
  <si>
    <t>19-12-2024</t>
  </si>
  <si>
    <t>UT-100157</t>
  </si>
  <si>
    <t>CUST_10156</t>
  </si>
  <si>
    <t>DRS-BLK-L</t>
  </si>
  <si>
    <t>Block Print Dress</t>
  </si>
  <si>
    <t>UT-100158</t>
  </si>
  <si>
    <t>CUST_10157</t>
  </si>
  <si>
    <t>BOT-TIE-S</t>
  </si>
  <si>
    <t>Tie Dye Pants</t>
  </si>
  <si>
    <t>UT-100159</t>
  </si>
  <si>
    <t>CUST_10158</t>
  </si>
  <si>
    <t>OUT-EMB-M</t>
  </si>
  <si>
    <t>Embellished Jacket</t>
  </si>
  <si>
    <t>23-11-2024</t>
  </si>
  <si>
    <t>UT-100160</t>
  </si>
  <si>
    <t>CUST_10159</t>
  </si>
  <si>
    <t>ACC-HRM-OS</t>
  </si>
  <si>
    <t>Hair Clip Set</t>
  </si>
  <si>
    <t>UT-100161</t>
  </si>
  <si>
    <t>CUST_10160</t>
  </si>
  <si>
    <t>TOP-PRN-L</t>
  </si>
  <si>
    <t>Printed Kurta</t>
  </si>
  <si>
    <t>UT-100162</t>
  </si>
  <si>
    <t>CUST_10161</t>
  </si>
  <si>
    <t>DRS-FLR-S</t>
  </si>
  <si>
    <t>Floral Print Dress</t>
  </si>
  <si>
    <t>22-12-2024</t>
  </si>
  <si>
    <t>UT-100163</t>
  </si>
  <si>
    <t>CUST_10162</t>
  </si>
  <si>
    <t>BOT-DOT-M</t>
  </si>
  <si>
    <t>Polka Dot Pants</t>
  </si>
  <si>
    <t>UT-100164</t>
  </si>
  <si>
    <t>CUST_10163</t>
  </si>
  <si>
    <t>OUT-STR-L</t>
  </si>
  <si>
    <t>Striped Blazer</t>
  </si>
  <si>
    <t>24-12-2024</t>
  </si>
  <si>
    <t>UT-100165</t>
  </si>
  <si>
    <t>CUST_10164</t>
  </si>
  <si>
    <t>ACC-TBR-OS</t>
  </si>
  <si>
    <t>Tassel Earrings</t>
  </si>
  <si>
    <t>UT-100166</t>
  </si>
  <si>
    <t>CUST_10165</t>
  </si>
  <si>
    <t>Sleeve Detail Top</t>
  </si>
  <si>
    <t>23-12-2024</t>
  </si>
  <si>
    <t>UT-100167</t>
  </si>
  <si>
    <t>CUST_10166</t>
  </si>
  <si>
    <t>DRS-ASY-M</t>
  </si>
  <si>
    <t>Asymmetric Dress</t>
  </si>
  <si>
    <t>25-12-2024</t>
  </si>
  <si>
    <t>UT-100168</t>
  </si>
  <si>
    <t>CUST_10167</t>
  </si>
  <si>
    <t>BOT-FRN-L</t>
  </si>
  <si>
    <t>Fringe Pants</t>
  </si>
  <si>
    <t>UT-100169</t>
  </si>
  <si>
    <t>CUST_10168</t>
  </si>
  <si>
    <t>OUT-TWD-M</t>
  </si>
  <si>
    <t>Tweed Jacket</t>
  </si>
  <si>
    <t>27-11-2024</t>
  </si>
  <si>
    <t>26-12-2024</t>
  </si>
  <si>
    <t>UT-100170</t>
  </si>
  <si>
    <t>CUST_10169</t>
  </si>
  <si>
    <t>ACC-PIN-OS</t>
  </si>
  <si>
    <t>Brooch Pin</t>
  </si>
  <si>
    <t>UT-100171</t>
  </si>
  <si>
    <t>CUST_10170</t>
  </si>
  <si>
    <t>TOP-MCR-M</t>
  </si>
  <si>
    <t>Macrame Top</t>
  </si>
  <si>
    <t>UT-100172</t>
  </si>
  <si>
    <t>CUST_10171</t>
  </si>
  <si>
    <t>DRS-PLT-S</t>
  </si>
  <si>
    <t>Pleated Midi Dress</t>
  </si>
  <si>
    <t>UT-100173</t>
  </si>
  <si>
    <t>CUST_10172</t>
  </si>
  <si>
    <t>BOT-VLT-L</t>
  </si>
  <si>
    <t>Velvet Pants</t>
  </si>
  <si>
    <t>UT-100174</t>
  </si>
  <si>
    <t>CUST_10173</t>
  </si>
  <si>
    <t>OUT-CHK-M</t>
  </si>
  <si>
    <t>Check Coat</t>
  </si>
  <si>
    <t>UT-100175</t>
  </si>
  <si>
    <t>CUST_10174</t>
  </si>
  <si>
    <t>ACC-WVN-OS</t>
  </si>
  <si>
    <t>Woven Bag</t>
  </si>
  <si>
    <t>UT-100176</t>
  </si>
  <si>
    <t>CUST_10175</t>
  </si>
  <si>
    <t>TOP-BLN-L</t>
  </si>
  <si>
    <t>Balloon Sleeve Top</t>
  </si>
  <si>
    <t>UT-100177</t>
  </si>
  <si>
    <t>CUST_10176</t>
  </si>
  <si>
    <t>DRS-CRO-S</t>
  </si>
  <si>
    <t>Crochet Dress</t>
  </si>
  <si>
    <t>29-11-2024</t>
  </si>
  <si>
    <t>28-12-2024</t>
  </si>
  <si>
    <t>UT-100178</t>
  </si>
  <si>
    <t>CUST_10177</t>
  </si>
  <si>
    <t>BOT-PTW-M</t>
  </si>
  <si>
    <t>Patchwork Pants</t>
  </si>
  <si>
    <t>UT-100179</t>
  </si>
  <si>
    <t>CUST_10178</t>
  </si>
  <si>
    <t>OUT-HRN-L</t>
  </si>
  <si>
    <t>Herringbone Coat</t>
  </si>
  <si>
    <t>29-12-2024</t>
  </si>
  <si>
    <t>UT-100180</t>
  </si>
  <si>
    <t>CUST_10179</t>
  </si>
  <si>
    <t>ACC-MTL-OS</t>
  </si>
  <si>
    <t>Metal Belt</t>
  </si>
  <si>
    <t>27-12-2024</t>
  </si>
  <si>
    <t>UT-100181</t>
  </si>
  <si>
    <t>CUST_10180</t>
  </si>
  <si>
    <t>TOP-RCH-S</t>
  </si>
  <si>
    <t>Rouched Top</t>
  </si>
  <si>
    <t>UT-100182</t>
  </si>
  <si>
    <t>CUST_10181</t>
  </si>
  <si>
    <t>DRS-TRF-M</t>
  </si>
  <si>
    <t>Tiered Ruffle Dress</t>
  </si>
  <si>
    <t>30-12-2024</t>
  </si>
  <si>
    <t>UT-100183</t>
  </si>
  <si>
    <t>CUST_10182</t>
  </si>
  <si>
    <t>BOT-BND-L</t>
  </si>
  <si>
    <t>Banded Pants</t>
  </si>
  <si>
    <t>UT-100184</t>
  </si>
  <si>
    <t>CUST_10183</t>
  </si>
  <si>
    <t>OUT-CML-M</t>
  </si>
  <si>
    <t>Camel Coat</t>
  </si>
  <si>
    <t>31-12-2024</t>
  </si>
  <si>
    <t>UT-100185</t>
  </si>
  <si>
    <t>CUST_10184</t>
  </si>
  <si>
    <t>ACC-STN-OS</t>
  </si>
  <si>
    <t>Stone Necklace</t>
  </si>
  <si>
    <t>UT-100186</t>
  </si>
  <si>
    <t>CUST_10185</t>
  </si>
  <si>
    <t>TOP-KNT-M</t>
  </si>
  <si>
    <t>Knotted Top</t>
  </si>
  <si>
    <t>UT-100187</t>
  </si>
  <si>
    <t>CUST_10186</t>
  </si>
  <si>
    <t>DRS-SQN-L</t>
  </si>
  <si>
    <t>Sequin Midi Dress</t>
  </si>
  <si>
    <t>UT-100188</t>
  </si>
  <si>
    <t>CUST_10187</t>
  </si>
  <si>
    <t>BOT-GLT-S</t>
  </si>
  <si>
    <t>Glitter Pants</t>
  </si>
  <si>
    <t>UT-100189</t>
  </si>
  <si>
    <t>CUST_10188</t>
  </si>
  <si>
    <t>OUT-FXF-M</t>
  </si>
  <si>
    <t>Faux Fur Jacket</t>
  </si>
  <si>
    <t>02-01-2025</t>
  </si>
  <si>
    <t>UT-100190</t>
  </si>
  <si>
    <t>CUST_10189</t>
  </si>
  <si>
    <t>ACC-CHM-OS</t>
  </si>
  <si>
    <t>Charm Anklet</t>
  </si>
  <si>
    <t>UT-100191</t>
  </si>
  <si>
    <t>CUST_10190</t>
  </si>
  <si>
    <t>TOP-TXD-L</t>
  </si>
  <si>
    <t>Textured Top</t>
  </si>
  <si>
    <t>UT-100192</t>
  </si>
  <si>
    <t>CUST_10191</t>
  </si>
  <si>
    <t>DRS-VLR-S</t>
  </si>
  <si>
    <t>Velour Dress</t>
  </si>
  <si>
    <t>03-01-2025</t>
  </si>
  <si>
    <t>UT-100193</t>
  </si>
  <si>
    <t>CUST_10192</t>
  </si>
  <si>
    <t>BOT-STN-M</t>
  </si>
  <si>
    <t>Satin Pants</t>
  </si>
  <si>
    <t>UT-100194</t>
  </si>
  <si>
    <t>CUST_10193</t>
  </si>
  <si>
    <t>OUT-SHN-L</t>
  </si>
  <si>
    <t>Shiny Jacket</t>
  </si>
  <si>
    <t>04-01-2025</t>
  </si>
  <si>
    <t>UT-100195</t>
  </si>
  <si>
    <t>CUST_10194</t>
  </si>
  <si>
    <t>ACC-PRL-OS</t>
  </si>
  <si>
    <t>Pearl Earrings</t>
  </si>
  <si>
    <t>UT-100196</t>
  </si>
  <si>
    <t>CUST_10195</t>
  </si>
  <si>
    <t>TOP-MTL-S</t>
  </si>
  <si>
    <t>Metallic Top</t>
  </si>
  <si>
    <t>UT-100197</t>
  </si>
  <si>
    <t>CUST_10196</t>
  </si>
  <si>
    <t>DRS-GLM-M</t>
  </si>
  <si>
    <t>Glamour Dress</t>
  </si>
  <si>
    <t>05-01-2025</t>
  </si>
  <si>
    <t>UT-100198</t>
  </si>
  <si>
    <t>CUST_10197</t>
  </si>
  <si>
    <t>BOT-LME-L</t>
  </si>
  <si>
    <t>Lame Pants</t>
  </si>
  <si>
    <t>UT-100199</t>
  </si>
  <si>
    <t>CUST_10198</t>
  </si>
  <si>
    <t>OUT-SPK-M</t>
  </si>
  <si>
    <t>Sparkle Jacket</t>
  </si>
  <si>
    <t>06-01-2025</t>
  </si>
  <si>
    <t>UT-100200</t>
  </si>
  <si>
    <t>CUST_10199</t>
  </si>
  <si>
    <t>ACC-CRY-OS</t>
  </si>
  <si>
    <t>Crystal Bracelet</t>
  </si>
  <si>
    <t>UT-100201</t>
  </si>
  <si>
    <t>CUST_10200</t>
  </si>
  <si>
    <t>TOP-SHR-L</t>
  </si>
  <si>
    <t>Sheer Top</t>
  </si>
  <si>
    <t>UT-100202</t>
  </si>
  <si>
    <t>CUST_10201</t>
  </si>
  <si>
    <t>DRS-CHF-S</t>
  </si>
  <si>
    <t>Chiffon Dress</t>
  </si>
  <si>
    <t>09-12-2024</t>
  </si>
  <si>
    <t>UT-100203</t>
  </si>
  <si>
    <t>CUST_10202</t>
  </si>
  <si>
    <t>BOT-ORG-M</t>
  </si>
  <si>
    <t>Organza Pants</t>
  </si>
  <si>
    <t>UT-100204</t>
  </si>
  <si>
    <t>CUST_10203</t>
  </si>
  <si>
    <t>OUT-MET-L</t>
  </si>
  <si>
    <t>Metallic Coat</t>
  </si>
  <si>
    <t>08-01-2025</t>
  </si>
  <si>
    <t>UT-100205</t>
  </si>
  <si>
    <t>CUST_10204</t>
  </si>
  <si>
    <t>ACC-DMD-OS</t>
  </si>
  <si>
    <t>Diamond Studs</t>
  </si>
  <si>
    <t>UT-100206</t>
  </si>
  <si>
    <t>CUST_10205</t>
  </si>
  <si>
    <t>TOP-BDS-M</t>
  </si>
  <si>
    <t>Beaded Top</t>
  </si>
  <si>
    <t>07-01-2025</t>
  </si>
  <si>
    <t>UT-100207</t>
  </si>
  <si>
    <t>CUST_10206</t>
  </si>
  <si>
    <t>DRS-SPL-L</t>
  </si>
  <si>
    <t>Sparkle Gown</t>
  </si>
  <si>
    <t>11-12-2024</t>
  </si>
  <si>
    <t>UT-100208</t>
  </si>
  <si>
    <t>CUST_10207</t>
  </si>
  <si>
    <t>BOT-EMB-S</t>
  </si>
  <si>
    <t>Embroidered Pants</t>
  </si>
  <si>
    <t>UT-100209</t>
  </si>
  <si>
    <t>CUST_10208</t>
  </si>
  <si>
    <t>OUT-NYE-M</t>
  </si>
  <si>
    <t>NYE Jacket</t>
  </si>
  <si>
    <t>10-01-2025</t>
  </si>
  <si>
    <t>UT-100210</t>
  </si>
  <si>
    <t>CUST_10209</t>
  </si>
  <si>
    <t>ACC-GLD-OS</t>
  </si>
  <si>
    <t>Gold Cuff</t>
  </si>
  <si>
    <t>UT-100211</t>
  </si>
  <si>
    <t>CUST_10210</t>
  </si>
  <si>
    <t>TOP-FTR-S</t>
  </si>
  <si>
    <t>Feather Top</t>
  </si>
  <si>
    <t>UT-100212</t>
  </si>
  <si>
    <t>CUST_10211</t>
  </si>
  <si>
    <t>DRS-CCK-M</t>
  </si>
  <si>
    <t>Cocktail Dress</t>
  </si>
  <si>
    <t>UT-100213</t>
  </si>
  <si>
    <t>CUST_10212</t>
  </si>
  <si>
    <t>BOT-SQN-L</t>
  </si>
  <si>
    <t>Sequin Skirt</t>
  </si>
  <si>
    <t>09-01-2025</t>
  </si>
  <si>
    <t>UT-100214</t>
  </si>
  <si>
    <t>CUST_10213</t>
  </si>
  <si>
    <t>OUT-PRT-M</t>
  </si>
  <si>
    <t>Party Jacket</t>
  </si>
  <si>
    <t>12-01-2025</t>
  </si>
  <si>
    <t>UT-100215</t>
  </si>
  <si>
    <t>CUST_10214</t>
  </si>
  <si>
    <t>ACC-SLV-OS</t>
  </si>
  <si>
    <t>Silver Bangle</t>
  </si>
  <si>
    <t>UT-100216</t>
  </si>
  <si>
    <t>CUST_10215</t>
  </si>
  <si>
    <t>TOP-GLT-L</t>
  </si>
  <si>
    <t>Glitter Tank</t>
  </si>
  <si>
    <t>UT-100217</t>
  </si>
  <si>
    <t>CUST_10216</t>
  </si>
  <si>
    <t>DRS-STR-S</t>
  </si>
  <si>
    <t>Star Print Dress</t>
  </si>
  <si>
    <t>UT-100218</t>
  </si>
  <si>
    <t>CUST_10217</t>
  </si>
  <si>
    <t>BOT-MTL-M</t>
  </si>
  <si>
    <t>Metallic Pants</t>
  </si>
  <si>
    <t>11-01-2025</t>
  </si>
  <si>
    <t>UT-100219</t>
  </si>
  <si>
    <t>CUST_10218</t>
  </si>
  <si>
    <t>OUT-FRM-L</t>
  </si>
  <si>
    <t>Formal Coat</t>
  </si>
  <si>
    <t>14-01-2025</t>
  </si>
  <si>
    <t>UT-100220</t>
  </si>
  <si>
    <t>CUST_10219</t>
  </si>
  <si>
    <t>ACC-RBN-OS</t>
  </si>
  <si>
    <t>Ribbon Choker</t>
  </si>
  <si>
    <t>UT-100221</t>
  </si>
  <si>
    <t>CUST_10220</t>
  </si>
  <si>
    <t>TOP-VNY-M</t>
  </si>
  <si>
    <t>Vinyl Top</t>
  </si>
  <si>
    <t>UT-100222</t>
  </si>
  <si>
    <t>CUST_10221</t>
  </si>
  <si>
    <t>DRS-NYE-L</t>
  </si>
  <si>
    <t>New Year Gown</t>
  </si>
  <si>
    <t>15-01-2025</t>
  </si>
  <si>
    <t>UT-100223</t>
  </si>
  <si>
    <t>CUST_10222</t>
  </si>
  <si>
    <t>BOT-LTX-S</t>
  </si>
  <si>
    <t>Latex Pants</t>
  </si>
  <si>
    <t>UT-100224</t>
  </si>
  <si>
    <t>CUST_10223</t>
  </si>
  <si>
    <t>OUT-GLM-M</t>
  </si>
  <si>
    <t>Glam Jacket</t>
  </si>
  <si>
    <t>16-01-2025</t>
  </si>
  <si>
    <t>UT-100225</t>
  </si>
  <si>
    <t>CUST_10224</t>
  </si>
  <si>
    <t>ACC-GEM-OS</t>
  </si>
  <si>
    <t>Gemstone Ring</t>
  </si>
  <si>
    <t>UT-100226</t>
  </si>
  <si>
    <t>CUST_10225</t>
  </si>
  <si>
    <t>TOP-HOD-L</t>
  </si>
  <si>
    <t>Zip Hoodie</t>
  </si>
  <si>
    <t>Dec-20</t>
  </si>
  <si>
    <t>UT-100227</t>
  </si>
  <si>
    <t>CUST_10226</t>
  </si>
  <si>
    <t>OUT-COT-M</t>
  </si>
  <si>
    <t>Puffer Coat</t>
  </si>
  <si>
    <t>UT-100228</t>
  </si>
  <si>
    <t>CUST_10227</t>
  </si>
  <si>
    <t>ACC-MFL-OS</t>
  </si>
  <si>
    <t>Cashmere Scarf</t>
  </si>
  <si>
    <t>UT-100229</t>
  </si>
  <si>
    <t>CUST_10228</t>
  </si>
  <si>
    <t>DRS-PLT-M</t>
  </si>
  <si>
    <t>Pleated Dress</t>
  </si>
  <si>
    <t>UT-100230</t>
  </si>
  <si>
    <t>CUST_10229</t>
  </si>
  <si>
    <t>TOP-THR-L</t>
  </si>
  <si>
    <t>Thermal Top</t>
  </si>
  <si>
    <t>Shimla</t>
  </si>
  <si>
    <t>Himachal Pradesh</t>
  </si>
  <si>
    <t>UT-100231</t>
  </si>
  <si>
    <t>CUST_10230</t>
  </si>
  <si>
    <t>BOT-FLC-M</t>
  </si>
  <si>
    <t>Fleece Joggers</t>
  </si>
  <si>
    <t>Dehradun</t>
  </si>
  <si>
    <t>Uttarakhand</t>
  </si>
  <si>
    <t>UT-100232</t>
  </si>
  <si>
    <t>CUST_10231</t>
  </si>
  <si>
    <t>Srinagar</t>
  </si>
  <si>
    <t>Jammu &amp; Kashmir</t>
  </si>
  <si>
    <t>UT-100233</t>
  </si>
  <si>
    <t>CUST_10232</t>
  </si>
  <si>
    <t>ACC-BNE-OS</t>
  </si>
  <si>
    <t>Beanie Cap</t>
  </si>
  <si>
    <t>Manali</t>
  </si>
  <si>
    <t>UT-100234</t>
  </si>
  <si>
    <t>CUST_10233</t>
  </si>
  <si>
    <t>TOP-SWT-S</t>
  </si>
  <si>
    <t>Cropped Sweater</t>
  </si>
  <si>
    <t>Darjeeling</t>
  </si>
  <si>
    <t>UT-100235</t>
  </si>
  <si>
    <t>CUST_10234</t>
  </si>
  <si>
    <t>DRS-WRM-M</t>
  </si>
  <si>
    <t>Gangtok</t>
  </si>
  <si>
    <t>Sikkim</t>
  </si>
  <si>
    <t>UT-100236</t>
  </si>
  <si>
    <t>CUST_10235</t>
  </si>
  <si>
    <t>BOT-WOL-L</t>
  </si>
  <si>
    <t>Wool Trousers</t>
  </si>
  <si>
    <t>Shillong</t>
  </si>
  <si>
    <t>Meghalaya</t>
  </si>
  <si>
    <t>UT-100237</t>
  </si>
  <si>
    <t>CUST_10236</t>
  </si>
  <si>
    <t>OUT-DWN-M</t>
  </si>
  <si>
    <t>Down Jacket</t>
  </si>
  <si>
    <t>Leh</t>
  </si>
  <si>
    <t>Ladakh</t>
  </si>
  <si>
    <t>UT-100238</t>
  </si>
  <si>
    <t>CUST_10237</t>
  </si>
  <si>
    <t>TOP-VLV-S</t>
  </si>
  <si>
    <t>Velvet Top</t>
  </si>
  <si>
    <t>Ooty</t>
  </si>
  <si>
    <t>UT-100239</t>
  </si>
  <si>
    <t>CUST_10238</t>
  </si>
  <si>
    <t>ACC-ERM-OS</t>
  </si>
  <si>
    <t>Ear Muffs</t>
  </si>
  <si>
    <t>Munnar</t>
  </si>
  <si>
    <t>UT-100240</t>
  </si>
  <si>
    <t>CUST_10239</t>
  </si>
  <si>
    <t>DRS-NYE-S</t>
  </si>
  <si>
    <t>Sequin Party Dress</t>
  </si>
  <si>
    <t>Goa</t>
  </si>
  <si>
    <t>UT-100241</t>
  </si>
  <si>
    <t>CUST_10240</t>
  </si>
  <si>
    <t>TOP-SPK-M</t>
  </si>
  <si>
    <t>Sparkle Top</t>
  </si>
  <si>
    <t>UT-100242</t>
  </si>
  <si>
    <t>CUST_10241</t>
  </si>
  <si>
    <t>BOT-VLV-S</t>
  </si>
  <si>
    <t>UT-100243</t>
  </si>
  <si>
    <t>CUST_10242</t>
  </si>
  <si>
    <t>OUT-FUR-L</t>
  </si>
  <si>
    <t>Faux Fur Coat</t>
  </si>
  <si>
    <t>UT-100244</t>
  </si>
  <si>
    <t>CUST_10243</t>
  </si>
  <si>
    <t>Evening Clutch</t>
  </si>
  <si>
    <t>UT-100245</t>
  </si>
  <si>
    <t>CUST_10244</t>
  </si>
  <si>
    <t>TOP-MET-S</t>
  </si>
  <si>
    <t>Metallic Blouse</t>
  </si>
  <si>
    <t>UT-100246</t>
  </si>
  <si>
    <t>CUST_10245</t>
  </si>
  <si>
    <t>DRS-GLT-M</t>
  </si>
  <si>
    <t>Glitter Dress</t>
  </si>
  <si>
    <t>UT-100247</t>
  </si>
  <si>
    <t>CUST_10246</t>
  </si>
  <si>
    <t>BOT-SLK-S</t>
  </si>
  <si>
    <t>Silk Trousers</t>
  </si>
  <si>
    <t>UT-100248</t>
  </si>
  <si>
    <t>CUST_10247</t>
  </si>
  <si>
    <t>Velvet Cape</t>
  </si>
  <si>
    <t>UT-100249</t>
  </si>
  <si>
    <t>CUST_10248</t>
  </si>
  <si>
    <t>ACC-HDB-OS</t>
  </si>
  <si>
    <t>Embellished Handbag</t>
  </si>
  <si>
    <t>UT-100250</t>
  </si>
  <si>
    <t>CUST_10249</t>
  </si>
  <si>
    <t>TOP-NYE-XS</t>
  </si>
  <si>
    <t>Party Bodysuit</t>
  </si>
  <si>
    <t>UT-100251</t>
  </si>
  <si>
    <t>CUST_10250</t>
  </si>
  <si>
    <t>DRS-CCT-S</t>
  </si>
  <si>
    <t>UT-100252</t>
  </si>
  <si>
    <t>CUST_10251</t>
  </si>
  <si>
    <t>BOT-SQN-M</t>
  </si>
  <si>
    <t>21-12-2024</t>
  </si>
  <si>
    <t>UT-100253</t>
  </si>
  <si>
    <t>CUST_10252</t>
  </si>
  <si>
    <t>OUT-BLZ-S</t>
  </si>
  <si>
    <t>Tuxedo Blazer</t>
  </si>
  <si>
    <t>UT-100254</t>
  </si>
  <si>
    <t>CUST_10253</t>
  </si>
  <si>
    <t>ACC-TRA-OS</t>
  </si>
  <si>
    <t>Tiara Headband</t>
  </si>
  <si>
    <t>UT-100255</t>
  </si>
  <si>
    <t>CUST_10254</t>
  </si>
  <si>
    <t>UT-100256</t>
  </si>
  <si>
    <t>CUST_10255</t>
  </si>
  <si>
    <t>DRS-BLB-S</t>
  </si>
  <si>
    <t>Balloon Sleeve Dress</t>
  </si>
  <si>
    <t>18-01-2025</t>
  </si>
  <si>
    <t>UT-100257</t>
  </si>
  <si>
    <t>CUST_10256</t>
  </si>
  <si>
    <t>BOT-WDE-L</t>
  </si>
  <si>
    <t>UT-100258</t>
  </si>
  <si>
    <t>CUST_10257</t>
  </si>
  <si>
    <t>OUT-SQN-M</t>
  </si>
  <si>
    <t>Sequin Jacket</t>
  </si>
  <si>
    <t>20-01-2025</t>
  </si>
  <si>
    <t>UT-100259</t>
  </si>
  <si>
    <t>CUST_10258</t>
  </si>
  <si>
    <t>ACC-PRT-OS</t>
  </si>
  <si>
    <t>Party Earrings</t>
  </si>
  <si>
    <t>UT-100260</t>
  </si>
  <si>
    <t>CUST_10259</t>
  </si>
  <si>
    <t>TOP-FTH-S</t>
  </si>
  <si>
    <t>Feather Trim Top</t>
  </si>
  <si>
    <t>19-01-2025</t>
  </si>
  <si>
    <t>UT-100261</t>
  </si>
  <si>
    <t>CUST_10260</t>
  </si>
  <si>
    <t>DRS-PRY-M</t>
  </si>
  <si>
    <t>Party Maxi</t>
  </si>
  <si>
    <t>22-01-2025</t>
  </si>
  <si>
    <t>UT-100262</t>
  </si>
  <si>
    <t>CUST_10261</t>
  </si>
  <si>
    <t>BOT-GLM-S</t>
  </si>
  <si>
    <t>Glam Pants</t>
  </si>
  <si>
    <t>UT-100263</t>
  </si>
  <si>
    <t>CUST_10262</t>
  </si>
  <si>
    <t>OUT-LME-L</t>
  </si>
  <si>
    <t>Lame Blazer</t>
  </si>
  <si>
    <t>23-01-2025</t>
  </si>
  <si>
    <t>UT-100264</t>
  </si>
  <si>
    <t>CUST_10263</t>
  </si>
  <si>
    <t>ACC-NYE-OS</t>
  </si>
  <si>
    <t>NYE Headpiece</t>
  </si>
  <si>
    <t>UT-100265</t>
  </si>
  <si>
    <t>CUST_10264</t>
  </si>
  <si>
    <t>TOP-SHM-M</t>
  </si>
  <si>
    <t>Shimmer Top</t>
  </si>
  <si>
    <t>21-01-2025</t>
  </si>
  <si>
    <t>UT-100266</t>
  </si>
  <si>
    <t>CUST_10265</t>
  </si>
  <si>
    <t>DRS-CNT-L</t>
  </si>
  <si>
    <t>Countdown Dress</t>
  </si>
  <si>
    <t>UT-100267</t>
  </si>
  <si>
    <t>CUST_10266</t>
  </si>
  <si>
    <t>BOT-CHM-S</t>
  </si>
  <si>
    <t>Champagne Pants</t>
  </si>
  <si>
    <t>24-01-2025</t>
  </si>
  <si>
    <t>UT-100268</t>
  </si>
  <si>
    <t>CUST_10267</t>
  </si>
  <si>
    <t>OUT-RSE-M</t>
  </si>
  <si>
    <t>Rose Gold Jacket</t>
  </si>
  <si>
    <t>25-01-2025</t>
  </si>
  <si>
    <t>UT-100269</t>
  </si>
  <si>
    <t>CUST_10268</t>
  </si>
  <si>
    <t>ACC-MSK-OS</t>
  </si>
  <si>
    <t>Mask Chain</t>
  </si>
  <si>
    <t>UT-100270</t>
  </si>
  <si>
    <t>CUST_10269</t>
  </si>
  <si>
    <t>TOP-CEL-L</t>
  </si>
  <si>
    <t>Celebration Top</t>
  </si>
  <si>
    <t>UT-100271</t>
  </si>
  <si>
    <t>CUST_10270</t>
  </si>
  <si>
    <t>DRS-MID-S</t>
  </si>
  <si>
    <t>Midnight Dress</t>
  </si>
  <si>
    <t>UT-100272</t>
  </si>
  <si>
    <t>CUST_10271</t>
  </si>
  <si>
    <t>BOT-NYS-M</t>
  </si>
  <si>
    <t>NYE Skirt</t>
  </si>
  <si>
    <t>26-01-2025</t>
  </si>
  <si>
    <t>UT-100273</t>
  </si>
  <si>
    <t>CUST_10272</t>
  </si>
  <si>
    <t>OUT-FRS-L</t>
  </si>
  <si>
    <t>Frost Jacket</t>
  </si>
  <si>
    <t>UT-100274</t>
  </si>
  <si>
    <t>CUST_10273</t>
  </si>
  <si>
    <t>ACC-SPR-OS</t>
  </si>
  <si>
    <t>Sparkle Hair Clip</t>
  </si>
  <si>
    <t>UT-100275</t>
  </si>
  <si>
    <t>CUST_10274</t>
  </si>
  <si>
    <t>TOP-GLS-M</t>
  </si>
  <si>
    <t>Glass Bead Top</t>
  </si>
  <si>
    <t>27-01-2025</t>
  </si>
  <si>
    <t>UT-100276</t>
  </si>
  <si>
    <t>CUST_10275</t>
  </si>
  <si>
    <t>DRS-FNL-L</t>
  </si>
  <si>
    <t>Finale Gown</t>
  </si>
  <si>
    <t>28-01-2025</t>
  </si>
  <si>
    <t>UT-100277</t>
  </si>
  <si>
    <t>CUST_10276</t>
  </si>
  <si>
    <t>BOT-PRY-S</t>
  </si>
  <si>
    <t>Party Leggings</t>
  </si>
  <si>
    <t>UT-100278</t>
  </si>
  <si>
    <t>CUST_10277</t>
  </si>
  <si>
    <t>OUT-CHR-M</t>
  </si>
  <si>
    <t>Christmas Jacket</t>
  </si>
  <si>
    <t>29-01-2025</t>
  </si>
  <si>
    <t>UT-100279</t>
  </si>
  <si>
    <t>CUST_10278</t>
  </si>
  <si>
    <t>ACC-BLS-OS</t>
  </si>
  <si>
    <t>Blush Bag</t>
  </si>
  <si>
    <t>UT-100280</t>
  </si>
  <si>
    <t>CUST_10279</t>
  </si>
  <si>
    <t>TOP-YRS-L</t>
  </si>
  <si>
    <t>Year End Top</t>
  </si>
  <si>
    <t>UT-100281</t>
  </si>
  <si>
    <t>CUST_10280</t>
  </si>
  <si>
    <t>Evening Elegance</t>
  </si>
  <si>
    <t>30-01-2025</t>
  </si>
  <si>
    <t>UT-100282</t>
  </si>
  <si>
    <t>CUST_10281</t>
  </si>
  <si>
    <t>BOT-FNS-M</t>
  </si>
  <si>
    <t>Finish Line Pants</t>
  </si>
  <si>
    <t>UT-100283</t>
  </si>
  <si>
    <t>CUST_10282</t>
  </si>
  <si>
    <t>OUT-NYB-L</t>
  </si>
  <si>
    <t>NYE Blazer</t>
  </si>
  <si>
    <t>31-01-2025</t>
  </si>
  <si>
    <t>UT-100284</t>
  </si>
  <si>
    <t>CUST_10283</t>
  </si>
  <si>
    <t>ACC-CNT-OS</t>
  </si>
  <si>
    <t>Countdown Earrings</t>
  </si>
  <si>
    <t>UT-100285</t>
  </si>
  <si>
    <t>CUST_10284</t>
  </si>
  <si>
    <t>TOP-LST-S</t>
  </si>
  <si>
    <t>Last Dance Top</t>
  </si>
  <si>
    <t>UT-100286</t>
  </si>
  <si>
    <t>CUST_10285</t>
  </si>
  <si>
    <t>DRS-BLS-M</t>
  </si>
  <si>
    <t>Bliss Dress</t>
  </si>
  <si>
    <t>01-02-2025</t>
  </si>
  <si>
    <t>UT-100287</t>
  </si>
  <si>
    <t>CUST_10286</t>
  </si>
  <si>
    <t>BOT-END-L</t>
  </si>
  <si>
    <t>Year End Pants</t>
  </si>
  <si>
    <t>UT-100288</t>
  </si>
  <si>
    <t>CUST_10287</t>
  </si>
  <si>
    <t>OUT-CLB-M</t>
  </si>
  <si>
    <t>Celebration Blazer</t>
  </si>
  <si>
    <t>02-02-2025</t>
  </si>
  <si>
    <t>UT-100289</t>
  </si>
  <si>
    <t>CUST_10288</t>
  </si>
  <si>
    <t>ACC-FNL-OS</t>
  </si>
  <si>
    <t>Finale Necklace</t>
  </si>
  <si>
    <t>UT-100290</t>
  </si>
  <si>
    <t>CUST_10289</t>
  </si>
  <si>
    <t>TOP-PRY-M</t>
  </si>
  <si>
    <t>Party Essential Top</t>
  </si>
  <si>
    <t>UT-100291</t>
  </si>
  <si>
    <t>CUST_10290</t>
  </si>
  <si>
    <t>DRS-SHN-L</t>
  </si>
  <si>
    <t>Shine On Dress</t>
  </si>
  <si>
    <t>03-02-2025</t>
  </si>
  <si>
    <t>UT-100292</t>
  </si>
  <si>
    <t>CUST_10291</t>
  </si>
  <si>
    <t>BOT-GLD-S</t>
  </si>
  <si>
    <t>Gold Rush Pants</t>
  </si>
  <si>
    <t>UT-100293</t>
  </si>
  <si>
    <t>CUST_10292</t>
  </si>
  <si>
    <t>OUT-DZL-M</t>
  </si>
  <si>
    <t>Dazzle Jacket</t>
  </si>
  <si>
    <t>04-02-2025</t>
  </si>
  <si>
    <t>UT-100294</t>
  </si>
  <si>
    <t>CUST_10293</t>
  </si>
  <si>
    <t>ACC-GLW-OS</t>
  </si>
  <si>
    <t>Glow Bracelet</t>
  </si>
  <si>
    <t>UT-100295</t>
  </si>
  <si>
    <t>CUST_10294</t>
  </si>
  <si>
    <t>TOP-SLB-L</t>
  </si>
  <si>
    <t>Celebrate Top</t>
  </si>
  <si>
    <t>UT-100296</t>
  </si>
  <si>
    <t>CUST_10295</t>
  </si>
  <si>
    <t>DRS-RDY-S</t>
  </si>
  <si>
    <t>Ready to Party Dress</t>
  </si>
  <si>
    <t>UT-100297</t>
  </si>
  <si>
    <t>CUST_10296</t>
  </si>
  <si>
    <t>BOT-BRT-M</t>
  </si>
  <si>
    <t>Bright Night Pants</t>
  </si>
  <si>
    <t>05-02-2025</t>
  </si>
  <si>
    <t>UT-100298</t>
  </si>
  <si>
    <t>CUST_10297</t>
  </si>
  <si>
    <t>OUT-END-L</t>
  </si>
  <si>
    <t>End of Year Coat</t>
  </si>
  <si>
    <t>06-02-2025</t>
  </si>
  <si>
    <t>UT-100299</t>
  </si>
  <si>
    <t>CUST_10298</t>
  </si>
  <si>
    <t>ACC-MRY-OS</t>
  </si>
  <si>
    <t>Merry Earrings</t>
  </si>
  <si>
    <t>UT-100300</t>
  </si>
  <si>
    <t>CUST_10299</t>
  </si>
  <si>
    <t>TOP-JOY-M</t>
  </si>
  <si>
    <t>Joyful Top</t>
  </si>
  <si>
    <t>UT-100301</t>
  </si>
  <si>
    <t>CUST_10300</t>
  </si>
  <si>
    <t>DRS-WND-L</t>
  </si>
  <si>
    <t>Winter Wonder Dress</t>
  </si>
  <si>
    <t>07-02-2025</t>
  </si>
  <si>
    <t>UT-100302</t>
  </si>
  <si>
    <t>CUST_10301</t>
  </si>
  <si>
    <t>BOT-FST-S</t>
  </si>
  <si>
    <t>Festive Pants</t>
  </si>
  <si>
    <t>UT-100303</t>
  </si>
  <si>
    <t>CUST_10302</t>
  </si>
  <si>
    <t>OUT-HOL-M</t>
  </si>
  <si>
    <t>Holiday Jacket</t>
  </si>
  <si>
    <t>08-02-2025</t>
  </si>
  <si>
    <t>UT-100304</t>
  </si>
  <si>
    <t>CUST_10303</t>
  </si>
  <si>
    <t>ACC-CHR-OS</t>
  </si>
  <si>
    <t>Christmas Brooch</t>
  </si>
  <si>
    <t>UT-100305</t>
  </si>
  <si>
    <t>CUST_10304</t>
  </si>
  <si>
    <t>TOP-SNW-L</t>
  </si>
  <si>
    <t>Snow White Top</t>
  </si>
  <si>
    <t>UT-100306</t>
  </si>
  <si>
    <t>CUST_10305</t>
  </si>
  <si>
    <t>DRS-ICE-S</t>
  </si>
  <si>
    <t>Ice Queen Dress</t>
  </si>
  <si>
    <t>09-02-2025</t>
  </si>
  <si>
    <t>UT-100307</t>
  </si>
  <si>
    <t>CUST_10306</t>
  </si>
  <si>
    <t>BOT-FRZ-M</t>
  </si>
  <si>
    <t>Frozen Pants</t>
  </si>
  <si>
    <t>UT-100308</t>
  </si>
  <si>
    <t>CUST_10307</t>
  </si>
  <si>
    <t>OUT-WNT-L</t>
  </si>
  <si>
    <t>Winter Wonderland Coat</t>
  </si>
  <si>
    <t>13-01-2025</t>
  </si>
  <si>
    <t>10-02-2025</t>
  </si>
  <si>
    <t>UT-100309</t>
  </si>
  <si>
    <t>CUST_10308</t>
  </si>
  <si>
    <t>ACC-SNF-OS</t>
  </si>
  <si>
    <t>Snowflake Pendant</t>
  </si>
  <si>
    <t>UT-100310</t>
  </si>
  <si>
    <t>CUST_10309</t>
  </si>
  <si>
    <t>TOP-XMS-M</t>
  </si>
  <si>
    <t>Christmas Spirit Top</t>
  </si>
  <si>
    <t>UT-100311</t>
  </si>
  <si>
    <t>CUST_10310</t>
  </si>
  <si>
    <t>DRS-NYR-L</t>
  </si>
  <si>
    <t>New Year Ready Dress</t>
  </si>
  <si>
    <t>11-02-2025</t>
  </si>
  <si>
    <t>UT-100312</t>
  </si>
  <si>
    <t>CUST_10311</t>
  </si>
  <si>
    <t>BOT-HLD-S</t>
  </si>
  <si>
    <t>Holiday Special Pants</t>
  </si>
  <si>
    <t>UT-100313</t>
  </si>
  <si>
    <t>CUST_10312</t>
  </si>
  <si>
    <t>OUT-CEL-M</t>
  </si>
  <si>
    <t>Celebrate Blazer</t>
  </si>
  <si>
    <t>12-02-2025</t>
  </si>
  <si>
    <t>UT-100314</t>
  </si>
  <si>
    <t>CUST_10313</t>
  </si>
  <si>
    <t>ACC-WRM-OS</t>
  </si>
  <si>
    <t>Warm Wishes Scarf</t>
  </si>
  <si>
    <t>UT-100315</t>
  </si>
  <si>
    <t>CUST_10314</t>
  </si>
  <si>
    <t>TOP-FLK-L</t>
  </si>
  <si>
    <t>Snowflake Top</t>
  </si>
  <si>
    <t>UT-100316</t>
  </si>
  <si>
    <t>CUST_10315</t>
  </si>
  <si>
    <t>DRS-SPR-S</t>
  </si>
  <si>
    <t>Sparkle Season Dress</t>
  </si>
  <si>
    <t>13-02-2025</t>
  </si>
  <si>
    <t>UT-100317</t>
  </si>
  <si>
    <t>CUST_10316</t>
  </si>
  <si>
    <t>BOT-CHR-M</t>
  </si>
  <si>
    <t>Cheer Pants</t>
  </si>
  <si>
    <t>UT-100318</t>
  </si>
  <si>
    <t>CUST_10317</t>
  </si>
  <si>
    <t>OUT-XMS-L</t>
  </si>
  <si>
    <t>Christmas Coat</t>
  </si>
  <si>
    <t>17-01-2025</t>
  </si>
  <si>
    <t>14-02-2025</t>
  </si>
  <si>
    <t>UT-100319</t>
  </si>
  <si>
    <t>CUST_10318</t>
  </si>
  <si>
    <t>ACC-BEL-OS</t>
  </si>
  <si>
    <t>Bell Earrings</t>
  </si>
  <si>
    <t>UT-100320</t>
  </si>
  <si>
    <t>CUST_10319</t>
  </si>
  <si>
    <t>TOP-RDR-M</t>
  </si>
  <si>
    <t>Reindeer Top</t>
  </si>
  <si>
    <t>UT-100321</t>
  </si>
  <si>
    <t>CUST_10320</t>
  </si>
  <si>
    <t>DRS-STR-L</t>
  </si>
  <si>
    <t>Star Bright Dress</t>
  </si>
  <si>
    <t>15-02-2025</t>
  </si>
  <si>
    <t>UT-100322</t>
  </si>
  <si>
    <t>CUST_10321</t>
  </si>
  <si>
    <t>BOT-MRY-S</t>
  </si>
  <si>
    <t>Merry Leggings</t>
  </si>
  <si>
    <t>UT-100323</t>
  </si>
  <si>
    <t>CUST_10322</t>
  </si>
  <si>
    <t>OUT-JOL-M</t>
  </si>
  <si>
    <t>Jolly Jacket</t>
  </si>
  <si>
    <t>16-02-2025</t>
  </si>
  <si>
    <t>UT-100324</t>
  </si>
  <si>
    <t>CUST_10323</t>
  </si>
  <si>
    <t>ACC-GFT-OS</t>
  </si>
  <si>
    <t>Gift Box Clutch</t>
  </si>
  <si>
    <t>UT-100325</t>
  </si>
  <si>
    <t>CUST_10324</t>
  </si>
  <si>
    <t>TOP-HLY-L</t>
  </si>
  <si>
    <t>Holly Top</t>
  </si>
  <si>
    <t>UT-100326</t>
  </si>
  <si>
    <t>CUST_10325</t>
  </si>
  <si>
    <t>DRS-BOX-S</t>
  </si>
  <si>
    <t>Boxing Day Dress</t>
  </si>
  <si>
    <t>17-02-2025</t>
  </si>
  <si>
    <t>UT-100327</t>
  </si>
  <si>
    <t>CUST_10326</t>
  </si>
  <si>
    <t>BOT-SLE-M</t>
  </si>
  <si>
    <t>Sale Season Pants</t>
  </si>
  <si>
    <t>UT-100328</t>
  </si>
  <si>
    <t>CUST_10327</t>
  </si>
  <si>
    <t>OUT-SAL-L</t>
  </si>
  <si>
    <t>Sale Special Coat</t>
  </si>
  <si>
    <t>18-02-2025</t>
  </si>
  <si>
    <t>UT-100329</t>
  </si>
  <si>
    <t>CUST_10328</t>
  </si>
  <si>
    <t>ACC-DIS-OS</t>
  </si>
  <si>
    <t>Discount Find Bag</t>
  </si>
  <si>
    <t>UT-100330</t>
  </si>
  <si>
    <t>CUST_10329</t>
  </si>
  <si>
    <t>TOP-CLR-M</t>
  </si>
  <si>
    <t>Clearance Top</t>
  </si>
  <si>
    <t>UT-100331</t>
  </si>
  <si>
    <t>CUST_10330</t>
  </si>
  <si>
    <t>DRS-END-L</t>
  </si>
  <si>
    <t>Year End Dress</t>
  </si>
  <si>
    <t>19-02-2025</t>
  </si>
  <si>
    <t>UT-100332</t>
  </si>
  <si>
    <t>CUST_10331</t>
  </si>
  <si>
    <t>BOT-FNL-S</t>
  </si>
  <si>
    <t>Final Sale Pants</t>
  </si>
  <si>
    <t>UT-100333</t>
  </si>
  <si>
    <t>CUST_10332</t>
  </si>
  <si>
    <t>OUT-LST-M</t>
  </si>
  <si>
    <t>Last Chance Jacket</t>
  </si>
  <si>
    <t>20-02-2025</t>
  </si>
  <si>
    <t>UT-100334</t>
  </si>
  <si>
    <t>CUST_10333</t>
  </si>
  <si>
    <t>ACC-NWY-OS</t>
  </si>
  <si>
    <t>New Year Tiara</t>
  </si>
  <si>
    <t>UT-100335</t>
  </si>
  <si>
    <t>CUST_10334</t>
  </si>
  <si>
    <t>TOP-BYE-L</t>
  </si>
  <si>
    <t>Goodbye 2024 Top</t>
  </si>
  <si>
    <t>UT-100336</t>
  </si>
  <si>
    <t>CUST_10335</t>
  </si>
  <si>
    <t>DRS-WLC-S</t>
  </si>
  <si>
    <t>Welcome 2025 Dress</t>
  </si>
  <si>
    <t>21-02-2025</t>
  </si>
  <si>
    <t>UT-100337</t>
  </si>
  <si>
    <t>CUST_10336</t>
  </si>
  <si>
    <t>BOT-RES-M</t>
  </si>
  <si>
    <t>Resolution Pants</t>
  </si>
  <si>
    <t>UT-100338</t>
  </si>
  <si>
    <t>CUST_10337</t>
  </si>
  <si>
    <t>OUT-HOP-L</t>
  </si>
  <si>
    <t>Hope Coat</t>
  </si>
  <si>
    <t>22-02-2025</t>
  </si>
  <si>
    <t>UT-100339</t>
  </si>
  <si>
    <t>CUST_10338</t>
  </si>
  <si>
    <t>ACC-DRM-OS</t>
  </si>
  <si>
    <t>Dream Catcher Earrings</t>
  </si>
  <si>
    <t>UT-100340</t>
  </si>
  <si>
    <t>CUST_10340</t>
  </si>
  <si>
    <t>TOP-WIS-M</t>
  </si>
  <si>
    <t>Wishes Top</t>
  </si>
  <si>
    <t>UT-100341</t>
  </si>
  <si>
    <t>DRS-PRO-L</t>
  </si>
  <si>
    <t>Promise Dress</t>
  </si>
  <si>
    <t>23-02-2025</t>
  </si>
  <si>
    <t>UT-100342</t>
  </si>
  <si>
    <t>CUST_10341</t>
  </si>
  <si>
    <t>BOT-NEW-S</t>
  </si>
  <si>
    <t>New Beginning Pants</t>
  </si>
  <si>
    <t>UT-100343</t>
  </si>
  <si>
    <t>CUST_10342</t>
  </si>
  <si>
    <t>OUT-FRE-M</t>
  </si>
  <si>
    <t>Fresh Start Jacket</t>
  </si>
  <si>
    <t>24-02-2025</t>
  </si>
  <si>
    <t>UT-100344</t>
  </si>
  <si>
    <t>CUST_10343</t>
  </si>
  <si>
    <t>ACC-LCK-OS</t>
  </si>
  <si>
    <t>Lucky Charm Bracelet</t>
  </si>
  <si>
    <t>UT-100345</t>
  </si>
  <si>
    <t>CUST_10344</t>
  </si>
  <si>
    <t>TOP-BEG-L</t>
  </si>
  <si>
    <t>Begin Again Top</t>
  </si>
  <si>
    <t>UT-100346</t>
  </si>
  <si>
    <t>CUST_10345</t>
  </si>
  <si>
    <t>DRS-CNT-S</t>
  </si>
  <si>
    <t>25-02-2025</t>
  </si>
  <si>
    <t>Column</t>
  </si>
  <si>
    <t>Description</t>
  </si>
  <si>
    <t>discount_code</t>
  </si>
  <si>
    <t>Promo code applied; blank if no discount</t>
  </si>
  <si>
    <t>delivery_date</t>
  </si>
  <si>
    <t>Actual delivery date (blank if not delivered or cancelled)</t>
  </si>
  <si>
    <r>
      <rPr>
        <b/>
        <sz val="11"/>
        <color theme="1"/>
        <rFont val="Calibri"/>
        <family val="2"/>
        <scheme val="minor"/>
      </rPr>
      <t xml:space="preserve">SKU - </t>
    </r>
    <r>
      <rPr>
        <sz val="11"/>
        <color theme="1"/>
        <rFont val="Calibri"/>
        <family val="2"/>
        <scheme val="minor"/>
      </rPr>
      <t>Stock keeping unit</t>
    </r>
  </si>
  <si>
    <r>
      <t xml:space="preserve">Totla_order - </t>
    </r>
    <r>
      <rPr>
        <sz val="11"/>
        <color theme="1"/>
        <rFont val="Calibri"/>
        <family val="2"/>
        <scheme val="minor"/>
      </rPr>
      <t>unit_price × quantity</t>
    </r>
  </si>
  <si>
    <t>Order_Date_Validation_Q4</t>
  </si>
  <si>
    <t>Product_SKU</t>
  </si>
  <si>
    <t>Order_Quantity_Validation</t>
  </si>
  <si>
    <t>Order_Total_After_Discount</t>
  </si>
  <si>
    <t>Discount_Amount</t>
  </si>
  <si>
    <t>Delivery Date</t>
  </si>
  <si>
    <t>Delivery_Date_Validation</t>
  </si>
  <si>
    <t>Return Received</t>
  </si>
  <si>
    <t>Return_Date_Validation</t>
  </si>
  <si>
    <t>Delivery_Time_Validation</t>
  </si>
  <si>
    <t>Return_Window_Validation</t>
  </si>
  <si>
    <t>Valid Q4</t>
  </si>
  <si>
    <t>Valid Quantity</t>
  </si>
  <si>
    <t>Valid Date</t>
  </si>
  <si>
    <t>Not Returned</t>
  </si>
  <si>
    <t>On time delivery</t>
  </si>
  <si>
    <t>Not returned</t>
  </si>
  <si>
    <t>Returned</t>
  </si>
  <si>
    <t>Valid</t>
  </si>
  <si>
    <t>Out of Q4</t>
  </si>
  <si>
    <t>Late delivery</t>
  </si>
  <si>
    <t>Not Delivered</t>
  </si>
  <si>
    <t>Not delivered</t>
  </si>
  <si>
    <t>Invalid Quantity</t>
  </si>
  <si>
    <t>Row Labels</t>
  </si>
  <si>
    <t>Grand Total</t>
  </si>
  <si>
    <t>Count of Order ID</t>
  </si>
  <si>
    <t>Total Order</t>
  </si>
  <si>
    <t>Totla Revenue (After discount)</t>
  </si>
  <si>
    <t>Total Units Sold</t>
  </si>
  <si>
    <t>AOV (avergae order value)</t>
  </si>
  <si>
    <t>AOV= sum(total revenue)/count(total order)</t>
  </si>
  <si>
    <t xml:space="preserve">Return Initiated =  </t>
  </si>
  <si>
    <t>Delivered Orders =</t>
  </si>
  <si>
    <t>Overall Return Rate %</t>
  </si>
  <si>
    <r>
      <rPr>
        <b/>
        <sz val="11"/>
        <color theme="1"/>
        <rFont val="Calibri"/>
        <family val="2"/>
        <scheme val="minor"/>
      </rPr>
      <t>AOV</t>
    </r>
    <r>
      <rPr>
        <sz val="11"/>
        <color theme="1"/>
        <rFont val="Calibri"/>
        <family val="2"/>
        <scheme val="minor"/>
      </rPr>
      <t xml:space="preserve"> - Average Order Value</t>
    </r>
  </si>
  <si>
    <r>
      <rPr>
        <b/>
        <sz val="11"/>
        <color theme="1"/>
        <rFont val="Calibri"/>
        <family val="2"/>
        <scheme val="minor"/>
      </rPr>
      <t>RTO</t>
    </r>
    <r>
      <rPr>
        <sz val="11"/>
        <color theme="1"/>
        <rFont val="Calibri"/>
        <family val="2"/>
        <scheme val="minor"/>
      </rPr>
      <t xml:space="preserve"> - Return To Origin</t>
    </r>
  </si>
  <si>
    <t>01-10-2024 - 07-10-2024</t>
  </si>
  <si>
    <t>08-10-2024 - 14-10-2024</t>
  </si>
  <si>
    <t>15-10-2024 - 21-10-2024</t>
  </si>
  <si>
    <t>22-10-2024 - 28-10-2024</t>
  </si>
  <si>
    <t>29-10-2024 - 04-11-2024</t>
  </si>
  <si>
    <t>05-11-2024 - 11-11-2024</t>
  </si>
  <si>
    <t>12-11-2024 - 18-11-2024</t>
  </si>
  <si>
    <t>19-11-2024 - 25-11-2024</t>
  </si>
  <si>
    <t>26-11-2024 - 02-12-2024</t>
  </si>
  <si>
    <t>03-12-2024 - 09-12-2024</t>
  </si>
  <si>
    <t>10-12-2024 - 16-12-2024</t>
  </si>
  <si>
    <t>17-12-2024 - 23-12-2024</t>
  </si>
  <si>
    <t>24-12-2024 - 30-12-2024</t>
  </si>
  <si>
    <t>31-12-2024 - 01-01-2025</t>
  </si>
  <si>
    <t>Count of Return Received</t>
  </si>
  <si>
    <t>Average Discount %</t>
  </si>
  <si>
    <t>Order Volume</t>
  </si>
  <si>
    <t>Return Rate</t>
  </si>
  <si>
    <t>Average of Order_Total_After_Discount</t>
  </si>
  <si>
    <t>Average Order Value</t>
  </si>
  <si>
    <t>Return Count</t>
  </si>
  <si>
    <t>GMV=</t>
  </si>
  <si>
    <t>Net revenue=</t>
  </si>
  <si>
    <t>Return Rate=</t>
  </si>
  <si>
    <t>RTO Rate=</t>
  </si>
  <si>
    <t>First Time Buyer Return Rate =</t>
  </si>
  <si>
    <t>Returning Time Buyer Return Rate =</t>
  </si>
  <si>
    <t xml:space="preserve">Bangalore warehouse = </t>
  </si>
  <si>
    <t xml:space="preserve">mumbai warehouse = </t>
  </si>
  <si>
    <t>count(RTO)=</t>
  </si>
  <si>
    <t>count(Delivery date)=</t>
  </si>
  <si>
    <t>Bangalore fullfillment =</t>
  </si>
  <si>
    <t>Mumbai fullfillment=</t>
  </si>
  <si>
    <t>Delhi fullfillment=</t>
  </si>
  <si>
    <t xml:space="preserve">delhi warehouse = </t>
  </si>
  <si>
    <t>Refund Processing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</si>
</sst>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3" fillId="0" borderId="0" xfId="0" applyFont="1"/>
    <xf numFmtId="0" fontId="2" fillId="0" borderId="0" xfId="0" applyFont="1"/>
    <xf numFmtId="14" fontId="0" fillId="0" borderId="0" xfId="0" applyNumberFormat="1"/>
    <xf numFmtId="0" fontId="0" fillId="2" borderId="0" xfId="0" applyFill="1"/>
    <xf numFmtId="14" fontId="0" fillId="2" borderId="0" xfId="0" applyNumberFormat="1" applyFill="1"/>
    <xf numFmtId="14" fontId="0" fillId="3" borderId="0" xfId="0" applyNumberFormat="1" applyFill="1"/>
    <xf numFmtId="0" fontId="0" fillId="3" borderId="0" xfId="0" applyFill="1"/>
    <xf numFmtId="0" fontId="0" fillId="0" borderId="0" xfId="0" pivotButton="1"/>
    <xf numFmtId="0" fontId="0" fillId="0" borderId="0" xfId="0" applyAlignment="1">
      <alignment horizontal="left"/>
    </xf>
    <xf numFmtId="0" fontId="2" fillId="4" borderId="0" xfId="0" applyFont="1" applyFill="1"/>
    <xf numFmtId="0" fontId="2" fillId="4" borderId="2" xfId="0" applyFont="1" applyFill="1" applyBorder="1"/>
    <xf numFmtId="14" fontId="0" fillId="0" borderId="0" xfId="0" applyNumberFormat="1" applyAlignment="1">
      <alignment horizontal="left" indent="1"/>
    </xf>
    <xf numFmtId="0" fontId="4" fillId="4" borderId="0" xfId="0" applyFont="1" applyFill="1"/>
    <xf numFmtId="0" fontId="0" fillId="4" borderId="0" xfId="0" applyFill="1"/>
    <xf numFmtId="0" fontId="0" fillId="0" borderId="0" xfId="0" applyAlignment="1">
      <alignment horizontal="right"/>
    </xf>
    <xf numFmtId="0" fontId="0" fillId="0" borderId="0" xfId="0" applyAlignment="1">
      <alignment horizontal="center"/>
    </xf>
    <xf numFmtId="0" fontId="0" fillId="0" borderId="0" xfId="0" pivotButton="1" applyAlignment="1">
      <alignment horizontal="center"/>
    </xf>
    <xf numFmtId="0" fontId="6" fillId="0" borderId="0" xfId="0" applyFont="1" applyAlignment="1">
      <alignment horizontal="right"/>
    </xf>
    <xf numFmtId="0" fontId="6" fillId="0" borderId="0" xfId="0" applyFont="1" applyAlignment="1">
      <alignment horizontal="left"/>
    </xf>
    <xf numFmtId="0" fontId="0" fillId="0" borderId="0" xfId="0"/>
  </cellXfs>
  <cellStyles count="1">
    <cellStyle name="Normal" xfId="0" builtinId="0"/>
  </cellStyles>
  <dxfs count="51">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[urbanthreads_q4_copy.xlsx]Trend Analysis!PivotTable2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Analysis'!$B$1</c:f>
              <c:strCache>
                <c:ptCount val="1"/>
                <c:pt idx="0">
                  <c:v>Order Volume</c:v>
                </c:pt>
              </c:strCache>
            </c:strRef>
          </c:tx>
          <c:spPr>
            <a:ln w="28575" cap="rnd">
              <a:solidFill>
                <a:schemeClr val="accent1"/>
              </a:solidFill>
              <a:round/>
            </a:ln>
            <a:effectLst/>
          </c:spPr>
          <c:marker>
            <c:symbol val="none"/>
          </c:marker>
          <c:cat>
            <c:strRef>
              <c:f>'Trend Analysis'!$A$2:$A$16</c:f>
              <c:strCache>
                <c:ptCount val="14"/>
                <c:pt idx="0">
                  <c:v>01-10-2024 - 07-10-2024</c:v>
                </c:pt>
                <c:pt idx="1">
                  <c:v>08-10-2024 - 14-10-2024</c:v>
                </c:pt>
                <c:pt idx="2">
                  <c:v>15-10-2024 - 21-10-2024</c:v>
                </c:pt>
                <c:pt idx="3">
                  <c:v>22-10-2024 - 28-10-2024</c:v>
                </c:pt>
                <c:pt idx="4">
                  <c:v>29-10-2024 - 04-11-2024</c:v>
                </c:pt>
                <c:pt idx="5">
                  <c:v>05-11-2024 - 11-11-2024</c:v>
                </c:pt>
                <c:pt idx="6">
                  <c:v>12-11-2024 - 18-11-2024</c:v>
                </c:pt>
                <c:pt idx="7">
                  <c:v>19-11-2024 - 25-11-2024</c:v>
                </c:pt>
                <c:pt idx="8">
                  <c:v>26-11-2024 - 02-12-2024</c:v>
                </c:pt>
                <c:pt idx="9">
                  <c:v>03-12-2024 - 09-12-2024</c:v>
                </c:pt>
                <c:pt idx="10">
                  <c:v>10-12-2024 - 16-12-2024</c:v>
                </c:pt>
                <c:pt idx="11">
                  <c:v>17-12-2024 - 23-12-2024</c:v>
                </c:pt>
                <c:pt idx="12">
                  <c:v>24-12-2024 - 30-12-2024</c:v>
                </c:pt>
                <c:pt idx="13">
                  <c:v>31-12-2024 - 01-01-2025</c:v>
                </c:pt>
              </c:strCache>
            </c:strRef>
          </c:cat>
          <c:val>
            <c:numRef>
              <c:f>'Trend Analysis'!$B$2:$B$16</c:f>
              <c:numCache>
                <c:formatCode>General</c:formatCode>
                <c:ptCount val="14"/>
                <c:pt idx="0">
                  <c:v>26</c:v>
                </c:pt>
                <c:pt idx="1">
                  <c:v>29</c:v>
                </c:pt>
                <c:pt idx="2">
                  <c:v>28</c:v>
                </c:pt>
                <c:pt idx="3">
                  <c:v>28</c:v>
                </c:pt>
                <c:pt idx="4">
                  <c:v>31</c:v>
                </c:pt>
                <c:pt idx="5">
                  <c:v>21</c:v>
                </c:pt>
                <c:pt idx="6">
                  <c:v>21</c:v>
                </c:pt>
                <c:pt idx="7">
                  <c:v>21</c:v>
                </c:pt>
                <c:pt idx="8">
                  <c:v>23</c:v>
                </c:pt>
                <c:pt idx="9">
                  <c:v>27</c:v>
                </c:pt>
                <c:pt idx="10">
                  <c:v>29</c:v>
                </c:pt>
                <c:pt idx="11">
                  <c:v>28</c:v>
                </c:pt>
                <c:pt idx="12">
                  <c:v>26</c:v>
                </c:pt>
                <c:pt idx="13">
                  <c:v>1</c:v>
                </c:pt>
              </c:numCache>
            </c:numRef>
          </c:val>
          <c:smooth val="0"/>
          <c:extLst>
            <c:ext xmlns:c16="http://schemas.microsoft.com/office/drawing/2014/chart" uri="{C3380CC4-5D6E-409C-BE32-E72D297353CC}">
              <c16:uniqueId val="{00000000-AE97-48C7-89EB-2D8DD282C017}"/>
            </c:ext>
          </c:extLst>
        </c:ser>
        <c:ser>
          <c:idx val="1"/>
          <c:order val="1"/>
          <c:tx>
            <c:strRef>
              <c:f>'Trend Analysis'!$C$1</c:f>
              <c:strCache>
                <c:ptCount val="1"/>
                <c:pt idx="0">
                  <c:v>Return Rate</c:v>
                </c:pt>
              </c:strCache>
            </c:strRef>
          </c:tx>
          <c:spPr>
            <a:ln w="28575" cap="rnd">
              <a:solidFill>
                <a:schemeClr val="accent2"/>
              </a:solidFill>
              <a:round/>
            </a:ln>
            <a:effectLst/>
          </c:spPr>
          <c:marker>
            <c:symbol val="none"/>
          </c:marker>
          <c:cat>
            <c:strRef>
              <c:f>'Trend Analysis'!$A$2:$A$16</c:f>
              <c:strCache>
                <c:ptCount val="14"/>
                <c:pt idx="0">
                  <c:v>01-10-2024 - 07-10-2024</c:v>
                </c:pt>
                <c:pt idx="1">
                  <c:v>08-10-2024 - 14-10-2024</c:v>
                </c:pt>
                <c:pt idx="2">
                  <c:v>15-10-2024 - 21-10-2024</c:v>
                </c:pt>
                <c:pt idx="3">
                  <c:v>22-10-2024 - 28-10-2024</c:v>
                </c:pt>
                <c:pt idx="4">
                  <c:v>29-10-2024 - 04-11-2024</c:v>
                </c:pt>
                <c:pt idx="5">
                  <c:v>05-11-2024 - 11-11-2024</c:v>
                </c:pt>
                <c:pt idx="6">
                  <c:v>12-11-2024 - 18-11-2024</c:v>
                </c:pt>
                <c:pt idx="7">
                  <c:v>19-11-2024 - 25-11-2024</c:v>
                </c:pt>
                <c:pt idx="8">
                  <c:v>26-11-2024 - 02-12-2024</c:v>
                </c:pt>
                <c:pt idx="9">
                  <c:v>03-12-2024 - 09-12-2024</c:v>
                </c:pt>
                <c:pt idx="10">
                  <c:v>10-12-2024 - 16-12-2024</c:v>
                </c:pt>
                <c:pt idx="11">
                  <c:v>17-12-2024 - 23-12-2024</c:v>
                </c:pt>
                <c:pt idx="12">
                  <c:v>24-12-2024 - 30-12-2024</c:v>
                </c:pt>
                <c:pt idx="13">
                  <c:v>31-12-2024 - 01-01-2025</c:v>
                </c:pt>
              </c:strCache>
            </c:strRef>
          </c:cat>
          <c:val>
            <c:numRef>
              <c:f>'Trend Analysis'!$C$2:$C$16</c:f>
              <c:numCache>
                <c:formatCode>General</c:formatCode>
                <c:ptCount val="14"/>
                <c:pt idx="0">
                  <c:v>10</c:v>
                </c:pt>
                <c:pt idx="1">
                  <c:v>12</c:v>
                </c:pt>
                <c:pt idx="2">
                  <c:v>12</c:v>
                </c:pt>
                <c:pt idx="3">
                  <c:v>12</c:v>
                </c:pt>
                <c:pt idx="4">
                  <c:v>23</c:v>
                </c:pt>
                <c:pt idx="5">
                  <c:v>11</c:v>
                </c:pt>
                <c:pt idx="6">
                  <c:v>12</c:v>
                </c:pt>
                <c:pt idx="7">
                  <c:v>11</c:v>
                </c:pt>
                <c:pt idx="8">
                  <c:v>12</c:v>
                </c:pt>
                <c:pt idx="9">
                  <c:v>12</c:v>
                </c:pt>
                <c:pt idx="10">
                  <c:v>16</c:v>
                </c:pt>
                <c:pt idx="11">
                  <c:v>17</c:v>
                </c:pt>
                <c:pt idx="12">
                  <c:v>16</c:v>
                </c:pt>
                <c:pt idx="13">
                  <c:v>1</c:v>
                </c:pt>
              </c:numCache>
            </c:numRef>
          </c:val>
          <c:smooth val="0"/>
          <c:extLst>
            <c:ext xmlns:c16="http://schemas.microsoft.com/office/drawing/2014/chart" uri="{C3380CC4-5D6E-409C-BE32-E72D297353CC}">
              <c16:uniqueId val="{00000001-AE97-48C7-89EB-2D8DD282C017}"/>
            </c:ext>
          </c:extLst>
        </c:ser>
        <c:ser>
          <c:idx val="2"/>
          <c:order val="2"/>
          <c:tx>
            <c:strRef>
              <c:f>'Trend Analysis'!$D$1</c:f>
              <c:strCache>
                <c:ptCount val="1"/>
                <c:pt idx="0">
                  <c:v>Average Discount %</c:v>
                </c:pt>
              </c:strCache>
            </c:strRef>
          </c:tx>
          <c:spPr>
            <a:ln w="28575" cap="rnd">
              <a:solidFill>
                <a:schemeClr val="accent3"/>
              </a:solidFill>
              <a:round/>
            </a:ln>
            <a:effectLst/>
          </c:spPr>
          <c:marker>
            <c:symbol val="none"/>
          </c:marker>
          <c:cat>
            <c:strRef>
              <c:f>'Trend Analysis'!$A$2:$A$16</c:f>
              <c:strCache>
                <c:ptCount val="14"/>
                <c:pt idx="0">
                  <c:v>01-10-2024 - 07-10-2024</c:v>
                </c:pt>
                <c:pt idx="1">
                  <c:v>08-10-2024 - 14-10-2024</c:v>
                </c:pt>
                <c:pt idx="2">
                  <c:v>15-10-2024 - 21-10-2024</c:v>
                </c:pt>
                <c:pt idx="3">
                  <c:v>22-10-2024 - 28-10-2024</c:v>
                </c:pt>
                <c:pt idx="4">
                  <c:v>29-10-2024 - 04-11-2024</c:v>
                </c:pt>
                <c:pt idx="5">
                  <c:v>05-11-2024 - 11-11-2024</c:v>
                </c:pt>
                <c:pt idx="6">
                  <c:v>12-11-2024 - 18-11-2024</c:v>
                </c:pt>
                <c:pt idx="7">
                  <c:v>19-11-2024 - 25-11-2024</c:v>
                </c:pt>
                <c:pt idx="8">
                  <c:v>26-11-2024 - 02-12-2024</c:v>
                </c:pt>
                <c:pt idx="9">
                  <c:v>03-12-2024 - 09-12-2024</c:v>
                </c:pt>
                <c:pt idx="10">
                  <c:v>10-12-2024 - 16-12-2024</c:v>
                </c:pt>
                <c:pt idx="11">
                  <c:v>17-12-2024 - 23-12-2024</c:v>
                </c:pt>
                <c:pt idx="12">
                  <c:v>24-12-2024 - 30-12-2024</c:v>
                </c:pt>
                <c:pt idx="13">
                  <c:v>31-12-2024 - 01-01-2025</c:v>
                </c:pt>
              </c:strCache>
            </c:strRef>
          </c:cat>
          <c:val>
            <c:numRef>
              <c:f>'Trend Analysis'!$D$2:$D$16</c:f>
              <c:numCache>
                <c:formatCode>General</c:formatCode>
                <c:ptCount val="14"/>
                <c:pt idx="0">
                  <c:v>5.384615384615385</c:v>
                </c:pt>
                <c:pt idx="1">
                  <c:v>5</c:v>
                </c:pt>
                <c:pt idx="2">
                  <c:v>5.3571428571428568</c:v>
                </c:pt>
                <c:pt idx="3">
                  <c:v>11.785714285714286</c:v>
                </c:pt>
                <c:pt idx="4">
                  <c:v>40</c:v>
                </c:pt>
                <c:pt idx="5">
                  <c:v>11.19047619047619</c:v>
                </c:pt>
                <c:pt idx="6">
                  <c:v>4.2857142857142856</c:v>
                </c:pt>
                <c:pt idx="7">
                  <c:v>3.5714285714285716</c:v>
                </c:pt>
                <c:pt idx="8">
                  <c:v>6.3043478260869561</c:v>
                </c:pt>
                <c:pt idx="9">
                  <c:v>8.1481481481481488</c:v>
                </c:pt>
                <c:pt idx="10">
                  <c:v>6.8965517241379306</c:v>
                </c:pt>
                <c:pt idx="11">
                  <c:v>6.4285714285714288</c:v>
                </c:pt>
                <c:pt idx="12">
                  <c:v>6.1538461538461542</c:v>
                </c:pt>
                <c:pt idx="13">
                  <c:v>20</c:v>
                </c:pt>
              </c:numCache>
            </c:numRef>
          </c:val>
          <c:smooth val="0"/>
          <c:extLst>
            <c:ext xmlns:c16="http://schemas.microsoft.com/office/drawing/2014/chart" uri="{C3380CC4-5D6E-409C-BE32-E72D297353CC}">
              <c16:uniqueId val="{00000002-AE97-48C7-89EB-2D8DD282C017}"/>
            </c:ext>
          </c:extLst>
        </c:ser>
        <c:dLbls>
          <c:showLegendKey val="0"/>
          <c:showVal val="0"/>
          <c:showCatName val="0"/>
          <c:showSerName val="0"/>
          <c:showPercent val="0"/>
          <c:showBubbleSize val="0"/>
        </c:dLbls>
        <c:smooth val="0"/>
        <c:axId val="717327135"/>
        <c:axId val="717325215"/>
      </c:lineChart>
      <c:catAx>
        <c:axId val="71732713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25215"/>
        <c:crosses val="autoZero"/>
        <c:auto val="1"/>
        <c:lblAlgn val="ctr"/>
        <c:lblOffset val="100"/>
        <c:noMultiLvlLbl val="0"/>
      </c:catAx>
      <c:valAx>
        <c:axId val="71732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2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182880</xdr:colOff>
      <xdr:row>0</xdr:row>
      <xdr:rowOff>99060</xdr:rowOff>
    </xdr:from>
    <xdr:to>
      <xdr:col>10</xdr:col>
      <xdr:colOff>22860</xdr:colOff>
      <xdr:row>8</xdr:row>
      <xdr:rowOff>7620</xdr:rowOff>
    </xdr:to>
    <xdr:sp macro="" textlink="">
      <xdr:nvSpPr>
        <xdr:cNvPr id="2" name="TextBox 1">
          <a:extLst>
            <a:ext uri="{FF2B5EF4-FFF2-40B4-BE49-F238E27FC236}">
              <a16:creationId xmlns:a16="http://schemas.microsoft.com/office/drawing/2014/main" id="{544D59A3-E7A9-AA85-1F75-4AE98079F995}"/>
            </a:ext>
          </a:extLst>
        </xdr:cNvPr>
        <xdr:cNvSpPr txBox="1"/>
      </xdr:nvSpPr>
      <xdr:spPr>
        <a:xfrm>
          <a:off x="182880" y="99060"/>
          <a:ext cx="593598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Important Context: </a:t>
          </a:r>
        </a:p>
        <a:p>
          <a:r>
            <a:rPr lang="en-IN" sz="1400"/>
            <a:t>• Our fiscal month runs from the 1st to the last day of each calendar month </a:t>
          </a:r>
        </a:p>
        <a:p>
          <a:r>
            <a:rPr lang="en-IN" sz="1400"/>
            <a:t>• Return window is 30 days from delivery date </a:t>
          </a:r>
        </a:p>
        <a:p>
          <a:r>
            <a:rPr lang="en-IN" sz="1400"/>
            <a:t>• We operate only in India, with warehouses in Mumbai, Delhi, and Bangalore </a:t>
          </a:r>
        </a:p>
        <a:p>
          <a:r>
            <a:rPr lang="en-IN" sz="1400"/>
            <a:t>• Peak season was Diwali (late October/early November) </a:t>
          </a:r>
        </a:p>
      </xdr:txBody>
    </xdr:sp>
    <xdr:clientData/>
  </xdr:twoCellAnchor>
  <xdr:twoCellAnchor>
    <xdr:from>
      <xdr:col>0</xdr:col>
      <xdr:colOff>182880</xdr:colOff>
      <xdr:row>9</xdr:row>
      <xdr:rowOff>0</xdr:rowOff>
    </xdr:from>
    <xdr:to>
      <xdr:col>10</xdr:col>
      <xdr:colOff>45720</xdr:colOff>
      <xdr:row>22</xdr:row>
      <xdr:rowOff>129540</xdr:rowOff>
    </xdr:to>
    <xdr:sp macro="" textlink="">
      <xdr:nvSpPr>
        <xdr:cNvPr id="3" name="TextBox 2">
          <a:extLst>
            <a:ext uri="{FF2B5EF4-FFF2-40B4-BE49-F238E27FC236}">
              <a16:creationId xmlns:a16="http://schemas.microsoft.com/office/drawing/2014/main" id="{DA43BF79-1CCD-A385-E6E9-503AF2CB7B7D}"/>
            </a:ext>
          </a:extLst>
        </xdr:cNvPr>
        <xdr:cNvSpPr txBox="1"/>
      </xdr:nvSpPr>
      <xdr:spPr>
        <a:xfrm>
          <a:off x="182880" y="1691640"/>
          <a:ext cx="5958840" cy="2506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Business Objectives Behind This Data:</a:t>
          </a:r>
        </a:p>
        <a:p>
          <a:r>
            <a:rPr lang="en-IN" sz="1400"/>
            <a:t>1. Understand what's driving our return rate, which jumped from 12% to 19% this quarter </a:t>
          </a:r>
        </a:p>
        <a:p>
          <a:r>
            <a:rPr lang="en-IN" sz="1400"/>
            <a:t>2. Identify whether certain product categories, customer segments, or order sources have disproportionate issues </a:t>
          </a:r>
        </a:p>
        <a:p>
          <a:r>
            <a:rPr lang="en-IN" sz="1400"/>
            <a:t>3. Assess whether our Diwali promotions attracted low-quality orders (high return, high COD) </a:t>
          </a:r>
        </a:p>
        <a:p>
          <a:r>
            <a:rPr lang="en-IN" sz="1400"/>
            <a:t>4. Provide actionable recommendations to reduce returns without hurting sales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0</xdr:row>
      <xdr:rowOff>0</xdr:rowOff>
    </xdr:from>
    <xdr:to>
      <xdr:col>11</xdr:col>
      <xdr:colOff>68580</xdr:colOff>
      <xdr:row>16</xdr:row>
      <xdr:rowOff>0</xdr:rowOff>
    </xdr:to>
    <xdr:graphicFrame macro="">
      <xdr:nvGraphicFramePr>
        <xdr:cNvPr id="2" name="Chart 1">
          <a:extLst>
            <a:ext uri="{FF2B5EF4-FFF2-40B4-BE49-F238E27FC236}">
              <a16:creationId xmlns:a16="http://schemas.microsoft.com/office/drawing/2014/main" id="{35E4A039-B64E-8FF0-780E-22A882393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16</xdr:row>
      <xdr:rowOff>175260</xdr:rowOff>
    </xdr:from>
    <xdr:to>
      <xdr:col>11</xdr:col>
      <xdr:colOff>76200</xdr:colOff>
      <xdr:row>27</xdr:row>
      <xdr:rowOff>7620</xdr:rowOff>
    </xdr:to>
    <xdr:sp macro="" textlink="">
      <xdr:nvSpPr>
        <xdr:cNvPr id="3" name="TextBox 2">
          <a:extLst>
            <a:ext uri="{FF2B5EF4-FFF2-40B4-BE49-F238E27FC236}">
              <a16:creationId xmlns:a16="http://schemas.microsoft.com/office/drawing/2014/main" id="{C09F64E4-6746-8E9E-633C-2DB4FC52E2B8}"/>
            </a:ext>
          </a:extLst>
        </xdr:cNvPr>
        <xdr:cNvSpPr txBox="1"/>
      </xdr:nvSpPr>
      <xdr:spPr>
        <a:xfrm>
          <a:off x="7620" y="3101340"/>
          <a:ext cx="9227820" cy="1844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1. Was there a noticeable spike during Diwali week (Oct 28 - Nov 3)?</a:t>
          </a:r>
        </a:p>
        <a:p>
          <a:r>
            <a:rPr lang="en-IN"/>
            <a:t>-&gt; Yes</a:t>
          </a:r>
          <a:r>
            <a:rPr lang="en-IN" baseline="0"/>
            <a:t> there was a minor  noticible sipke during Oct 28 - Nov 3, after the Diwali there is a mojor drop in order volume till 2nd and 3rd week of Dec.</a:t>
          </a:r>
        </a:p>
        <a:p>
          <a:endParaRPr lang="en-IN"/>
        </a:p>
        <a:p>
          <a:r>
            <a:rPr lang="en-IN"/>
            <a:t>2.</a:t>
          </a:r>
          <a:r>
            <a:rPr lang="en-IN" baseline="0"/>
            <a:t> </a:t>
          </a:r>
          <a:r>
            <a:rPr lang="en-IN"/>
            <a:t>Did return rates lag behind order spikes by 2-3 weeks (as returns take time)? </a:t>
          </a:r>
        </a:p>
        <a:p>
          <a:r>
            <a:rPr lang="en-IN"/>
            <a:t>-&gt;</a:t>
          </a:r>
          <a:r>
            <a:rPr lang="en-IN" baseline="0"/>
            <a:t> Yes during Diwali the return rate spike, the returns are the order before Diwali. After Diwali there is no return rate spike.</a:t>
          </a:r>
          <a:endParaRPr lang="en-IN"/>
        </a:p>
        <a:p>
          <a:endParaRPr lang="en-IN"/>
        </a:p>
        <a:p>
          <a:r>
            <a:rPr lang="en-IN"/>
            <a:t>3. Did heavy discounting correlate with higher return rates?</a:t>
          </a:r>
        </a:p>
        <a:p>
          <a:r>
            <a:rPr lang="en-IN" sz="1100"/>
            <a:t>-&gt; No,</a:t>
          </a:r>
          <a:r>
            <a:rPr lang="en-IN" sz="1100" baseline="0"/>
            <a:t> heavy discounting didn't correlate with higher return rate. In Diwali week there was a average of 40 % discount, after Diwali there is no spike in return rate.</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281940</xdr:colOff>
      <xdr:row>0</xdr:row>
      <xdr:rowOff>22860</xdr:rowOff>
    </xdr:from>
    <xdr:to>
      <xdr:col>14</xdr:col>
      <xdr:colOff>91440</xdr:colOff>
      <xdr:row>4</xdr:row>
      <xdr:rowOff>7620</xdr:rowOff>
    </xdr:to>
    <xdr:sp macro="" textlink="">
      <xdr:nvSpPr>
        <xdr:cNvPr id="2" name="TextBox 1">
          <a:extLst>
            <a:ext uri="{FF2B5EF4-FFF2-40B4-BE49-F238E27FC236}">
              <a16:creationId xmlns:a16="http://schemas.microsoft.com/office/drawing/2014/main" id="{158F79F7-67F6-4C08-A838-885EAD04B5F2}"/>
            </a:ext>
          </a:extLst>
        </xdr:cNvPr>
        <xdr:cNvSpPr txBox="1"/>
      </xdr:nvSpPr>
      <xdr:spPr>
        <a:xfrm>
          <a:off x="4648200" y="22860"/>
          <a:ext cx="5295900" cy="716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Which segment is more profitable after accounting for returns?</a:t>
          </a:r>
        </a:p>
        <a:p>
          <a:r>
            <a:rPr lang="en-IN" sz="1100"/>
            <a:t>-&gt;</a:t>
          </a:r>
          <a:r>
            <a:rPr lang="en-IN" sz="1100" baseline="0"/>
            <a:t> New segment is better even after returning orders gaining more revenue, even after new segment has more return rate than returning segment</a:t>
          </a:r>
          <a:endParaRPr lang="en-IN" sz="1100"/>
        </a:p>
      </xdr:txBody>
    </xdr:sp>
    <xdr:clientData/>
  </xdr:twoCellAnchor>
  <xdr:twoCellAnchor>
    <xdr:from>
      <xdr:col>5</xdr:col>
      <xdr:colOff>236220</xdr:colOff>
      <xdr:row>6</xdr:row>
      <xdr:rowOff>129540</xdr:rowOff>
    </xdr:from>
    <xdr:to>
      <xdr:col>14</xdr:col>
      <xdr:colOff>60960</xdr:colOff>
      <xdr:row>10</xdr:row>
      <xdr:rowOff>137160</xdr:rowOff>
    </xdr:to>
    <xdr:sp macro="" textlink="">
      <xdr:nvSpPr>
        <xdr:cNvPr id="3" name="TextBox 2">
          <a:extLst>
            <a:ext uri="{FF2B5EF4-FFF2-40B4-BE49-F238E27FC236}">
              <a16:creationId xmlns:a16="http://schemas.microsoft.com/office/drawing/2014/main" id="{62472E2C-CB52-4A04-7E93-6CBB628F60B9}"/>
            </a:ext>
          </a:extLst>
        </xdr:cNvPr>
        <xdr:cNvSpPr txBox="1"/>
      </xdr:nvSpPr>
      <xdr:spPr>
        <a:xfrm>
          <a:off x="7033260" y="1226820"/>
          <a:ext cx="531114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Which channel has the best return rate? Highest AOV?</a:t>
          </a:r>
        </a:p>
        <a:p>
          <a:r>
            <a:rPr lang="en-IN" sz="1100"/>
            <a:t>-&gt;Website</a:t>
          </a:r>
          <a:r>
            <a:rPr lang="en-IN" sz="1100" baseline="0"/>
            <a:t> channel has best return rate but highegst Aov is with instagram shop.</a:t>
          </a:r>
          <a:endParaRPr lang="en-IN" sz="1100"/>
        </a:p>
      </xdr:txBody>
    </xdr:sp>
    <xdr:clientData/>
  </xdr:twoCellAnchor>
  <xdr:twoCellAnchor>
    <xdr:from>
      <xdr:col>5</xdr:col>
      <xdr:colOff>327660</xdr:colOff>
      <xdr:row>13</xdr:row>
      <xdr:rowOff>76200</xdr:rowOff>
    </xdr:from>
    <xdr:to>
      <xdr:col>14</xdr:col>
      <xdr:colOff>83820</xdr:colOff>
      <xdr:row>19</xdr:row>
      <xdr:rowOff>60960</xdr:rowOff>
    </xdr:to>
    <xdr:sp macro="" textlink="">
      <xdr:nvSpPr>
        <xdr:cNvPr id="4" name="TextBox 3">
          <a:extLst>
            <a:ext uri="{FF2B5EF4-FFF2-40B4-BE49-F238E27FC236}">
              <a16:creationId xmlns:a16="http://schemas.microsoft.com/office/drawing/2014/main" id="{5EFEDEE4-A288-E028-7ABC-B87B1020A011}"/>
            </a:ext>
          </a:extLst>
        </xdr:cNvPr>
        <xdr:cNvSpPr txBox="1"/>
      </xdr:nvSpPr>
      <xdr:spPr>
        <a:xfrm>
          <a:off x="7048500" y="2453640"/>
          <a:ext cx="5242560" cy="1082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Is COD (Cash on Delivery) associated with higher return/RTO rates compared to prepaid methods?</a:t>
          </a:r>
        </a:p>
        <a:p>
          <a:r>
            <a:rPr lang="en-IN" sz="1100"/>
            <a:t>-&gt; No COD doesn't have highest but have 2nd highest</a:t>
          </a:r>
          <a:r>
            <a:rPr lang="en-IN" sz="1100" baseline="0"/>
            <a:t> return rate.</a:t>
          </a:r>
          <a:endParaRPr lang="en-IN" sz="1100"/>
        </a:p>
      </xdr:txBody>
    </xdr:sp>
    <xdr:clientData/>
  </xdr:twoCellAnchor>
  <xdr:twoCellAnchor>
    <xdr:from>
      <xdr:col>5</xdr:col>
      <xdr:colOff>358140</xdr:colOff>
      <xdr:row>22</xdr:row>
      <xdr:rowOff>7620</xdr:rowOff>
    </xdr:from>
    <xdr:to>
      <xdr:col>14</xdr:col>
      <xdr:colOff>99060</xdr:colOff>
      <xdr:row>29</xdr:row>
      <xdr:rowOff>7620</xdr:rowOff>
    </xdr:to>
    <xdr:sp macro="" textlink="">
      <xdr:nvSpPr>
        <xdr:cNvPr id="5" name="TextBox 4">
          <a:extLst>
            <a:ext uri="{FF2B5EF4-FFF2-40B4-BE49-F238E27FC236}">
              <a16:creationId xmlns:a16="http://schemas.microsoft.com/office/drawing/2014/main" id="{BF96C8AC-E08B-3ADA-095B-7D30E4280728}"/>
            </a:ext>
          </a:extLst>
        </xdr:cNvPr>
        <xdr:cNvSpPr txBox="1"/>
      </xdr:nvSpPr>
      <xdr:spPr>
        <a:xfrm>
          <a:off x="7078980" y="4030980"/>
          <a:ext cx="5227320" cy="1280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Which category has the highest return rate?  </a:t>
          </a:r>
        </a:p>
        <a:p>
          <a:r>
            <a:rPr lang="en-IN"/>
            <a:t>-&gt; Outwear category has the highest return rate.</a:t>
          </a:r>
        </a:p>
        <a:p>
          <a:endParaRPr lang="en-IN"/>
        </a:p>
        <a:p>
          <a:r>
            <a:rPr lang="en-IN"/>
            <a:t>Is this category also high-volume or is it a smaller, problematic segment?</a:t>
          </a:r>
        </a:p>
        <a:p>
          <a:r>
            <a:rPr lang="en-IN"/>
            <a:t>-&gt;</a:t>
          </a:r>
          <a:r>
            <a:rPr lang="en-IN" baseline="0"/>
            <a:t> It is not the lowest or highest, but has 3rd best category for higher order volume, both accessories and outwear has equal order volume but sorted after return rate. The category doesn't seems to be problamatic.</a:t>
          </a:r>
          <a:r>
            <a:rPr lang="en-IN"/>
            <a:t> </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30480</xdr:colOff>
      <xdr:row>0</xdr:row>
      <xdr:rowOff>175260</xdr:rowOff>
    </xdr:from>
    <xdr:to>
      <xdr:col>15</xdr:col>
      <xdr:colOff>76200</xdr:colOff>
      <xdr:row>22</xdr:row>
      <xdr:rowOff>30480</xdr:rowOff>
    </xdr:to>
    <xdr:sp macro="" textlink="">
      <xdr:nvSpPr>
        <xdr:cNvPr id="2" name="TextBox 1">
          <a:extLst>
            <a:ext uri="{FF2B5EF4-FFF2-40B4-BE49-F238E27FC236}">
              <a16:creationId xmlns:a16="http://schemas.microsoft.com/office/drawing/2014/main" id="{CD94FB91-F2FD-20FB-9DB6-4459F06702CA}"/>
            </a:ext>
          </a:extLst>
        </xdr:cNvPr>
        <xdr:cNvSpPr txBox="1"/>
      </xdr:nvSpPr>
      <xdr:spPr>
        <a:xfrm>
          <a:off x="640080" y="175260"/>
          <a:ext cx="8580120" cy="3878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1. If the overall return rate is 19%, but returning customers have a 10% return rate while new customers have 28%, what does this tell you? </a:t>
          </a:r>
        </a:p>
        <a:p>
          <a:r>
            <a:rPr lang="en-IN" sz="1200"/>
            <a:t>-&gt;</a:t>
          </a:r>
          <a:r>
            <a:rPr lang="en-IN" sz="1200" baseline="0"/>
            <a:t> Returning customers are more loyal than new customer, more confident in sizing and low operational risk.</a:t>
          </a:r>
        </a:p>
        <a:p>
          <a:r>
            <a:rPr lang="en-IN" sz="1200" baseline="0"/>
            <a:t>-&gt; New customers are hight operational risk with high return rate and low net profitibility.</a:t>
          </a:r>
        </a:p>
        <a:p>
          <a:r>
            <a:rPr lang="en-IN" sz="1200" baseline="0"/>
            <a:t>-&gt; The company must focus more on retention strategy, while acquiring new customer is also better way to expand and this should be next priority after retention strategy.</a:t>
          </a:r>
        </a:p>
        <a:p>
          <a:endParaRPr lang="en-IN" sz="1200"/>
        </a:p>
        <a:p>
          <a:r>
            <a:rPr lang="en-IN" sz="1200"/>
            <a:t>2. If 45% of returns cite "Size Issue," what operational changes might help? </a:t>
          </a:r>
        </a:p>
        <a:p>
          <a:r>
            <a:rPr lang="en-IN" sz="1200"/>
            <a:t>-&gt; Making</a:t>
          </a:r>
          <a:r>
            <a:rPr lang="en-IN" sz="1200" baseline="0"/>
            <a:t> better size charts.</a:t>
          </a:r>
        </a:p>
        <a:p>
          <a:r>
            <a:rPr lang="en-IN" sz="1200" baseline="0"/>
            <a:t>-&gt; Fit comparision tools.</a:t>
          </a:r>
        </a:p>
        <a:p>
          <a:r>
            <a:rPr lang="en-IN" sz="1200" baseline="0"/>
            <a:t>-&gt; Taking customer feedback seriously and review the fit info.</a:t>
          </a:r>
          <a:endParaRPr lang="en-IN" sz="1200"/>
        </a:p>
        <a:p>
          <a:endParaRPr lang="en-IN" sz="1200"/>
        </a:p>
        <a:p>
          <a:r>
            <a:rPr lang="en-IN" sz="1200"/>
            <a:t>3. If Instagram Shop has the highest return rate, should we shut it down? What else would you want to know before recommending that?</a:t>
          </a:r>
        </a:p>
        <a:p>
          <a:r>
            <a:rPr lang="en-IN" sz="1200"/>
            <a:t>-&gt;</a:t>
          </a:r>
          <a:r>
            <a:rPr lang="en-IN" sz="1200" baseline="0"/>
            <a:t> As far as instagram customers are contributing around 30%  revenue and high return rate still be net profitible.</a:t>
          </a:r>
        </a:p>
        <a:p>
          <a:r>
            <a:rPr lang="en-IN" sz="1200" baseline="0"/>
            <a:t>-&gt; If the higher AOV has higher return rate than listing low AOV products will be better than completely shutting down.</a:t>
          </a:r>
        </a:p>
        <a:p>
          <a:r>
            <a:rPr lang="en-IN" sz="1200" baseline="0"/>
            <a:t>-&gt; As new customer is having higher return rate than instagram is mostly sourcing new customer which tends to higher return rate.</a:t>
          </a:r>
        </a:p>
        <a:p>
          <a:r>
            <a:rPr lang="en-IN" sz="1200" baseline="0"/>
            <a:t>-&gt; Before shutting down I would like to know, different product mix in orders, heavy discount.</a:t>
          </a:r>
          <a:endParaRPr lang="en-IN"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259080</xdr:colOff>
      <xdr:row>0</xdr:row>
      <xdr:rowOff>83820</xdr:rowOff>
    </xdr:from>
    <xdr:to>
      <xdr:col>23</xdr:col>
      <xdr:colOff>15240</xdr:colOff>
      <xdr:row>42</xdr:row>
      <xdr:rowOff>38100</xdr:rowOff>
    </xdr:to>
    <xdr:sp macro="" textlink="">
      <xdr:nvSpPr>
        <xdr:cNvPr id="2" name="TextBox 1">
          <a:extLst>
            <a:ext uri="{FF2B5EF4-FFF2-40B4-BE49-F238E27FC236}">
              <a16:creationId xmlns:a16="http://schemas.microsoft.com/office/drawing/2014/main" id="{63EED8DE-2A7E-4880-9640-E2463EEABCE8}"/>
            </a:ext>
          </a:extLst>
        </xdr:cNvPr>
        <xdr:cNvSpPr txBox="1"/>
      </xdr:nvSpPr>
      <xdr:spPr>
        <a:xfrm>
          <a:off x="259080" y="83820"/>
          <a:ext cx="13776960" cy="7635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i="1">
              <a:solidFill>
                <a:schemeClr val="dk1"/>
              </a:solidFill>
              <a:latin typeface="+mn-lt"/>
              <a:ea typeface="+mn-ea"/>
              <a:cs typeface="+mn-cs"/>
            </a:rPr>
            <a:t>Cleaning Log (SECTION 1: DATA CLEANING &amp; PREPARATION)</a:t>
          </a:r>
        </a:p>
        <a:p>
          <a:endParaRPr lang="en-IN" sz="1100">
            <a:solidFill>
              <a:schemeClr val="dk1"/>
            </a:solidFill>
            <a:latin typeface="+mn-lt"/>
            <a:ea typeface="+mn-ea"/>
            <a:cs typeface="+mn-cs"/>
          </a:endParaRPr>
        </a:p>
        <a:p>
          <a:r>
            <a:rPr lang="en-IN" sz="1100">
              <a:solidFill>
                <a:schemeClr val="dk1"/>
              </a:solidFill>
              <a:latin typeface="+mn-lt"/>
              <a:ea typeface="+mn-ea"/>
              <a:cs typeface="+mn-cs"/>
            </a:rPr>
            <a:t>1. Copied and pasted the original data, converted it into a proper table.</a:t>
          </a:r>
        </a:p>
        <a:p>
          <a:r>
            <a:rPr lang="en-IN" sz="1100">
              <a:solidFill>
                <a:schemeClr val="dk1"/>
              </a:solidFill>
              <a:latin typeface="+mn-lt"/>
              <a:ea typeface="+mn-ea"/>
              <a:cs typeface="+mn-cs"/>
            </a:rPr>
            <a:t>2. Opened power query editor to do the data cleaning part</a:t>
          </a:r>
        </a:p>
        <a:p>
          <a:r>
            <a:rPr lang="en-IN" sz="1100">
              <a:solidFill>
                <a:schemeClr val="dk1"/>
              </a:solidFill>
              <a:latin typeface="+mn-lt"/>
              <a:ea typeface="+mn-ea"/>
              <a:cs typeface="+mn-cs"/>
            </a:rPr>
            <a:t>3. In view section, check box on to column distribution, column quality and column profiling. Checked for the column format.</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1.1 Missing Value Analysis</a:t>
          </a:r>
        </a:p>
        <a:p>
          <a:endParaRPr lang="en-IN" sz="1100">
            <a:solidFill>
              <a:schemeClr val="dk1"/>
            </a:solidFill>
            <a:latin typeface="+mn-lt"/>
            <a:ea typeface="+mn-ea"/>
            <a:cs typeface="+mn-cs"/>
          </a:endParaRPr>
        </a:p>
        <a:p>
          <a:r>
            <a:rPr lang="en-IN" sz="1100">
              <a:solidFill>
                <a:schemeClr val="dk1"/>
              </a:solidFill>
              <a:latin typeface="+mn-lt"/>
              <a:ea typeface="+mn-ea"/>
              <a:cs typeface="+mn-cs"/>
            </a:rPr>
            <a:t>1. In Discount Code column, Dec-20 and Nov-15 looked like a date, after further inspection, the values correlated with discount% as 20% and 15% discount respectively.</a:t>
          </a:r>
        </a:p>
        <a:p>
          <a:r>
            <a:rPr lang="en-IN" sz="1100">
              <a:solidFill>
                <a:schemeClr val="dk1"/>
              </a:solidFill>
              <a:latin typeface="+mn-lt"/>
              <a:ea typeface="+mn-ea"/>
              <a:cs typeface="+mn-cs"/>
            </a:rPr>
            <a:t>2. Delivery Date column has 5% null values, indicating that 5% of the orders weren't delivered due to 1 cancelled order and rest were RTO (return to origin).</a:t>
          </a:r>
        </a:p>
        <a:p>
          <a:r>
            <a:rPr lang="en-IN" sz="1100">
              <a:solidFill>
                <a:schemeClr val="dk1"/>
              </a:solidFill>
              <a:latin typeface="+mn-lt"/>
              <a:ea typeface="+mn-ea"/>
              <a:cs typeface="+mn-cs"/>
            </a:rPr>
            <a:t>3. Return reason had 48% null values, which indicates that total of 48% orders weren't returned and 52% orders were returned, which is a big concern.</a:t>
          </a:r>
        </a:p>
        <a:p>
          <a:r>
            <a:rPr lang="en-IN" sz="1100">
              <a:solidFill>
                <a:schemeClr val="dk1"/>
              </a:solidFill>
              <a:latin typeface="+mn-lt"/>
              <a:ea typeface="+mn-ea"/>
              <a:cs typeface="+mn-cs"/>
            </a:rPr>
            <a:t>4. Return received had 48% null values, which indicates total of 52% orders were received and it matched with the Return Reason column.</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1.2 Duplicate Detection</a:t>
          </a:r>
        </a:p>
        <a:p>
          <a:endParaRPr lang="en-IN" sz="1100">
            <a:solidFill>
              <a:schemeClr val="dk1"/>
            </a:solidFill>
            <a:latin typeface="+mn-lt"/>
            <a:ea typeface="+mn-ea"/>
            <a:cs typeface="+mn-cs"/>
          </a:endParaRPr>
        </a:p>
        <a:p>
          <a:r>
            <a:rPr lang="en-IN" sz="1100">
              <a:solidFill>
                <a:schemeClr val="dk1"/>
              </a:solidFill>
              <a:latin typeface="+mn-lt"/>
              <a:ea typeface="+mn-ea"/>
              <a:cs typeface="+mn-cs"/>
            </a:rPr>
            <a:t>1. No duplicate order values found. Checked through column profiling.</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1.3 Format Inconsistencies</a:t>
          </a:r>
        </a:p>
        <a:p>
          <a:endParaRPr lang="en-IN" sz="1100">
            <a:solidFill>
              <a:schemeClr val="dk1"/>
            </a:solidFill>
            <a:latin typeface="+mn-lt"/>
            <a:ea typeface="+mn-ea"/>
            <a:cs typeface="+mn-cs"/>
          </a:endParaRPr>
        </a:p>
        <a:p>
          <a:r>
            <a:rPr lang="en-IN" sz="1100">
              <a:solidFill>
                <a:schemeClr val="dk1"/>
              </a:solidFill>
              <a:latin typeface="+mn-lt"/>
              <a:ea typeface="+mn-ea"/>
              <a:cs typeface="+mn-cs"/>
            </a:rPr>
            <a:t>1. Checked for Order Date, Return Received and Delivery Date for inconsistencies. Found no inconsistencies.</a:t>
          </a:r>
        </a:p>
        <a:p>
          <a:r>
            <a:rPr lang="en-IN" sz="1100">
              <a:solidFill>
                <a:schemeClr val="dk1"/>
              </a:solidFill>
              <a:latin typeface="+mn-lt"/>
              <a:ea typeface="+mn-ea"/>
              <a:cs typeface="+mn-cs"/>
            </a:rPr>
            <a:t>2. In status column, changed the Delievered to Delivered and new to New.</a:t>
          </a:r>
        </a:p>
        <a:p>
          <a:r>
            <a:rPr lang="en-IN" sz="1100">
              <a:solidFill>
                <a:schemeClr val="dk1"/>
              </a:solidFill>
              <a:latin typeface="+mn-lt"/>
              <a:ea typeface="+mn-ea"/>
              <a:cs typeface="+mn-cs"/>
            </a:rPr>
            <a:t>3. Standardized the Product_SKU format to string and found no inconsistences.</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1.4 Outlier Identification</a:t>
          </a:r>
        </a:p>
        <a:p>
          <a:endParaRPr lang="en-IN" sz="1100">
            <a:solidFill>
              <a:schemeClr val="dk1"/>
            </a:solidFill>
            <a:latin typeface="+mn-lt"/>
            <a:ea typeface="+mn-ea"/>
            <a:cs typeface="+mn-cs"/>
          </a:endParaRPr>
        </a:p>
        <a:p>
          <a:r>
            <a:rPr lang="en-IN" sz="1100">
              <a:solidFill>
                <a:schemeClr val="dk1"/>
              </a:solidFill>
              <a:latin typeface="+mn-lt"/>
              <a:ea typeface="+mn-ea"/>
              <a:cs typeface="+mn-cs"/>
            </a:rPr>
            <a:t>1. Found no outliers in Discount%.</a:t>
          </a:r>
        </a:p>
        <a:p>
          <a:r>
            <a:rPr lang="en-IN" sz="1100">
              <a:solidFill>
                <a:schemeClr val="dk1"/>
              </a:solidFill>
              <a:latin typeface="+mn-lt"/>
              <a:ea typeface="+mn-ea"/>
              <a:cs typeface="+mn-cs"/>
            </a:rPr>
            <a:t>2. Found outlier in Quantity (-1), Casual blazer with no discount from Delhi warehouse was returned and the return status is still pending.</a:t>
          </a:r>
        </a:p>
        <a:p>
          <a:r>
            <a:rPr lang="en-IN" sz="1100">
              <a:solidFill>
                <a:schemeClr val="dk1"/>
              </a:solidFill>
              <a:latin typeface="+mn-lt"/>
              <a:ea typeface="+mn-ea"/>
              <a:cs typeface="+mn-cs"/>
            </a:rPr>
            <a:t>3. After the inspection, no outliers (0, negative value, and unusually high price).</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1.5 Logical Data Issues</a:t>
          </a:r>
        </a:p>
        <a:p>
          <a:endParaRPr lang="en-IN" sz="1100">
            <a:solidFill>
              <a:schemeClr val="dk1"/>
            </a:solidFill>
            <a:latin typeface="+mn-lt"/>
            <a:ea typeface="+mn-ea"/>
            <a:cs typeface="+mn-cs"/>
          </a:endParaRPr>
        </a:p>
        <a:p>
          <a:r>
            <a:rPr lang="en-IN" sz="1100">
              <a:solidFill>
                <a:schemeClr val="dk1"/>
              </a:solidFill>
              <a:latin typeface="+mn-lt"/>
              <a:ea typeface="+mn-ea"/>
              <a:cs typeface="+mn-cs"/>
            </a:rPr>
            <a:t>1. Order_Total has the correct values with no discount values applied. Calculated the Order total after discount. Calculated Discount_Amount and Order_Total_After_Discount separately for better understanding.</a:t>
          </a:r>
        </a:p>
        <a:p>
          <a:r>
            <a:rPr lang="en-IN" sz="1100">
              <a:solidFill>
                <a:schemeClr val="dk1"/>
              </a:solidFill>
              <a:latin typeface="+mn-lt"/>
              <a:ea typeface="+mn-ea"/>
              <a:cs typeface="+mn-cs"/>
            </a:rPr>
            <a:t>2. To verify the relationship between delivery date and order date, created a custom column as "Delivery_Date_Validation" with the logic</a:t>
          </a:r>
        </a:p>
        <a:p>
          <a:r>
            <a:rPr lang="en-IN" sz="1100">
              <a:solidFill>
                <a:schemeClr val="dk1"/>
              </a:solidFill>
              <a:latin typeface="+mn-lt"/>
              <a:ea typeface="+mn-ea"/>
              <a:cs typeface="+mn-cs"/>
            </a:rPr>
            <a:t>   if [Delivery_Date] = null then "Not Delivered"</a:t>
          </a:r>
        </a:p>
        <a:p>
          <a:r>
            <a:rPr lang="en-IN" sz="1100">
              <a:solidFill>
                <a:schemeClr val="dk1"/>
              </a:solidFill>
              <a:latin typeface="+mn-lt"/>
              <a:ea typeface="+mn-ea"/>
              <a:cs typeface="+mn-cs"/>
            </a:rPr>
            <a:t>   else if [Delivery_Date] &gt;= [Order_Date] then "Valid Date"</a:t>
          </a:r>
        </a:p>
        <a:p>
          <a:r>
            <a:rPr lang="en-IN" sz="1100">
              <a:solidFill>
                <a:schemeClr val="dk1"/>
              </a:solidFill>
              <a:latin typeface="+mn-lt"/>
              <a:ea typeface="+mn-ea"/>
              <a:cs typeface="+mn-cs"/>
            </a:rPr>
            <a:t>   else "Not Valid". Found no error in the date and the relationship between delivery date and order date</a:t>
          </a:r>
        </a:p>
        <a:p>
          <a:r>
            <a:rPr lang="en-IN" sz="1100">
              <a:solidFill>
                <a:schemeClr val="dk1"/>
              </a:solidFill>
              <a:latin typeface="+mn-lt"/>
              <a:ea typeface="+mn-ea"/>
              <a:cs typeface="+mn-cs"/>
            </a:rPr>
            <a:t> 3. For delivery status = "cancelled" and "RTO", the delivery date is null, indicating that the delivery has not done</a:t>
          </a:r>
        </a:p>
        <a:p>
          <a:r>
            <a:rPr lang="en-IN" sz="1100">
              <a:solidFill>
                <a:schemeClr val="dk1"/>
              </a:solidFill>
              <a:latin typeface="+mn-lt"/>
              <a:ea typeface="+mn-ea"/>
              <a:cs typeface="+mn-cs"/>
            </a:rPr>
            <a:t> 4. For return initiated = "Yes", there are always a reason for it.</a:t>
          </a:r>
        </a:p>
        <a:p>
          <a:r>
            <a:rPr lang="en-IN" sz="1100">
              <a:solidFill>
                <a:schemeClr val="dk1"/>
              </a:solidFill>
              <a:latin typeface="+mn-lt"/>
              <a:ea typeface="+mn-ea"/>
              <a:cs typeface="+mn-cs"/>
            </a:rPr>
            <a:t> 5. To verify the relationship  between delivery date and return date, created a custom column as "Return_Date_Validation" with the logic</a:t>
          </a:r>
        </a:p>
        <a:p>
          <a:r>
            <a:rPr lang="en-IN" sz="1100">
              <a:solidFill>
                <a:schemeClr val="dk1"/>
              </a:solidFill>
              <a:latin typeface="+mn-lt"/>
              <a:ea typeface="+mn-ea"/>
              <a:cs typeface="+mn-cs"/>
            </a:rPr>
            <a:t>   if [Delivery Date] = null then "Not Delivered"</a:t>
          </a:r>
        </a:p>
        <a:p>
          <a:r>
            <a:rPr lang="en-IN" sz="1100">
              <a:solidFill>
                <a:schemeClr val="dk1"/>
              </a:solidFill>
              <a:latin typeface="+mn-lt"/>
              <a:ea typeface="+mn-ea"/>
              <a:cs typeface="+mn-cs"/>
            </a:rPr>
            <a:t>   else if [Return_Date] = null then "Not Returned"</a:t>
          </a:r>
        </a:p>
        <a:p>
          <a:r>
            <a:rPr lang="en-IN" sz="1100">
              <a:solidFill>
                <a:schemeClr val="dk1"/>
              </a:solidFill>
              <a:latin typeface="+mn-lt"/>
              <a:ea typeface="+mn-ea"/>
              <a:cs typeface="+mn-cs"/>
            </a:rPr>
            <a:t>   else if [Delivery Date] &lt;= [Return Received] then "Returned"</a:t>
          </a:r>
        </a:p>
        <a:p>
          <a:r>
            <a:rPr lang="en-IN" sz="1100">
              <a:solidFill>
                <a:schemeClr val="dk1"/>
              </a:solidFill>
              <a:latin typeface="+mn-lt"/>
              <a:ea typeface="+mn-ea"/>
              <a:cs typeface="+mn-cs"/>
            </a:rPr>
            <a:t>   else "Date not valid"</a:t>
          </a:r>
        </a:p>
        <a:p>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160020</xdr:colOff>
      <xdr:row>0</xdr:row>
      <xdr:rowOff>83820</xdr:rowOff>
    </xdr:from>
    <xdr:to>
      <xdr:col>22</xdr:col>
      <xdr:colOff>457200</xdr:colOff>
      <xdr:row>35</xdr:row>
      <xdr:rowOff>167640</xdr:rowOff>
    </xdr:to>
    <xdr:sp macro="" textlink="">
      <xdr:nvSpPr>
        <xdr:cNvPr id="2" name="TextBox 1">
          <a:extLst>
            <a:ext uri="{FF2B5EF4-FFF2-40B4-BE49-F238E27FC236}">
              <a16:creationId xmlns:a16="http://schemas.microsoft.com/office/drawing/2014/main" id="{F8087B8E-86BB-2878-23E2-E1399083CF99}"/>
            </a:ext>
          </a:extLst>
        </xdr:cNvPr>
        <xdr:cNvSpPr txBox="1"/>
      </xdr:nvSpPr>
      <xdr:spPr>
        <a:xfrm>
          <a:off x="160020" y="83820"/>
          <a:ext cx="13708380" cy="6484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i="1">
              <a:solidFill>
                <a:schemeClr val="dk1"/>
              </a:solidFill>
              <a:latin typeface="+mn-lt"/>
              <a:ea typeface="+mn-ea"/>
              <a:cs typeface="+mn-cs"/>
            </a:rPr>
            <a:t>Validation Summary (SECTION 2: DATA VALIDATION &amp; QUALITY CHECKS)</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Validation tasks:</a:t>
          </a:r>
        </a:p>
        <a:p>
          <a:endParaRPr lang="en-IN" sz="1100">
            <a:solidFill>
              <a:schemeClr val="dk1"/>
            </a:solidFill>
            <a:latin typeface="+mn-lt"/>
            <a:ea typeface="+mn-ea"/>
            <a:cs typeface="+mn-cs"/>
          </a:endParaRPr>
        </a:p>
        <a:p>
          <a:r>
            <a:rPr lang="en-IN" sz="1100">
              <a:solidFill>
                <a:schemeClr val="dk1"/>
              </a:solidFill>
              <a:latin typeface="+mn-lt"/>
              <a:ea typeface="+mn-ea"/>
              <a:cs typeface="+mn-cs"/>
            </a:rPr>
            <a:t>1. All order_id values follow the format UT-XXXXXX = "Yes". Checked it using column profiling, column distribution and column quality.</a:t>
          </a:r>
        </a:p>
        <a:p>
          <a:r>
            <a:rPr lang="en-IN" sz="1100">
              <a:solidFill>
                <a:schemeClr val="dk1"/>
              </a:solidFill>
              <a:latin typeface="+mn-lt"/>
              <a:ea typeface="+mn-ea"/>
              <a:cs typeface="+mn-cs"/>
            </a:rPr>
            <a:t>2. Customer_type contains only "New" or "Returning" = "Yes". Checked it using Column Profiling column distribution and column quality.</a:t>
          </a:r>
        </a:p>
        <a:p>
          <a:r>
            <a:rPr lang="en-IN" sz="1100">
              <a:solidFill>
                <a:schemeClr val="dk1"/>
              </a:solidFill>
              <a:latin typeface="+mn-lt"/>
              <a:ea typeface="+mn-ea"/>
              <a:cs typeface="+mn-cs"/>
            </a:rPr>
            <a:t>3. Quantity is a positive integer = "Yes" Except -1 as mentioned earlier .Checked it using column profiling, column distribution and column quality. To flag the data, created a custom column as "Order_Quantity_Validation"  with the logic:</a:t>
          </a:r>
          <a:br>
            <a:rPr lang="en-IN" sz="1100">
              <a:solidFill>
                <a:schemeClr val="dk1"/>
              </a:solidFill>
              <a:latin typeface="+mn-lt"/>
              <a:ea typeface="+mn-ea"/>
              <a:cs typeface="+mn-cs"/>
            </a:rPr>
          </a:br>
          <a:r>
            <a:rPr lang="en-IN" sz="1100">
              <a:solidFill>
                <a:schemeClr val="dk1"/>
              </a:solidFill>
              <a:latin typeface="+mn-lt"/>
              <a:ea typeface="+mn-ea"/>
              <a:cs typeface="+mn-cs"/>
            </a:rPr>
            <a:t>     if [Qty] &lt;= then "Invalid Quantity"</a:t>
          </a:r>
          <a:br>
            <a:rPr lang="en-IN" sz="1100">
              <a:solidFill>
                <a:schemeClr val="dk1"/>
              </a:solidFill>
              <a:latin typeface="+mn-lt"/>
              <a:ea typeface="+mn-ea"/>
              <a:cs typeface="+mn-cs"/>
            </a:rPr>
          </a:br>
          <a:r>
            <a:rPr lang="en-IN" sz="1100">
              <a:solidFill>
                <a:schemeClr val="dk1"/>
              </a:solidFill>
              <a:latin typeface="+mn-lt"/>
              <a:ea typeface="+mn-ea"/>
              <a:cs typeface="+mn-cs"/>
            </a:rPr>
            <a:t>     else "Valid Quantity"</a:t>
          </a:r>
        </a:p>
        <a:p>
          <a:r>
            <a:rPr lang="en-IN" sz="1100">
              <a:solidFill>
                <a:schemeClr val="dk1"/>
              </a:solidFill>
              <a:latin typeface="+mn-lt"/>
              <a:ea typeface="+mn-ea"/>
              <a:cs typeface="+mn-cs"/>
            </a:rPr>
            <a:t>4. Discount_percent is between 0 and 100  = "Yes". Checked it using column profiling, column distribution and column quality.</a:t>
          </a:r>
        </a:p>
        <a:p>
          <a:r>
            <a:rPr lang="en-IN" sz="1100">
              <a:solidFill>
                <a:schemeClr val="dk1"/>
              </a:solidFill>
              <a:latin typeface="+mn-lt"/>
              <a:ea typeface="+mn-ea"/>
              <a:cs typeface="+mn-cs"/>
            </a:rPr>
            <a:t>5. Order_date falls within Q4 2024 (Oct 1 – Dec 31) = "Yes" except for 10-01-2024. To flag the data, created a custom named "Order_Date_Validation_Q4" with the logic = if [Order Date] &gt;= #date(2024,10,1)</a:t>
          </a:r>
          <a:br>
            <a:rPr lang="en-IN" sz="1100">
              <a:solidFill>
                <a:schemeClr val="dk1"/>
              </a:solidFill>
              <a:latin typeface="+mn-lt"/>
              <a:ea typeface="+mn-ea"/>
              <a:cs typeface="+mn-cs"/>
            </a:rPr>
          </a:br>
          <a:r>
            <a:rPr lang="en-IN" sz="1100">
              <a:solidFill>
                <a:schemeClr val="dk1"/>
              </a:solidFill>
              <a:latin typeface="+mn-lt"/>
              <a:ea typeface="+mn-ea"/>
              <a:cs typeface="+mn-cs"/>
            </a:rPr>
            <a:t>     and [Order Date] &lt;= #date(2024,12,31)</a:t>
          </a:r>
          <a:br>
            <a:rPr lang="en-IN" sz="1100">
              <a:solidFill>
                <a:schemeClr val="dk1"/>
              </a:solidFill>
              <a:latin typeface="+mn-lt"/>
              <a:ea typeface="+mn-ea"/>
              <a:cs typeface="+mn-cs"/>
            </a:rPr>
          </a:br>
          <a:r>
            <a:rPr lang="en-IN" sz="1100">
              <a:solidFill>
                <a:schemeClr val="dk1"/>
              </a:solidFill>
              <a:latin typeface="+mn-lt"/>
              <a:ea typeface="+mn-ea"/>
              <a:cs typeface="+mn-cs"/>
            </a:rPr>
            <a:t>     then "Valid Q4"</a:t>
          </a:r>
        </a:p>
        <a:p>
          <a:r>
            <a:rPr lang="en-IN" sz="1100">
              <a:solidFill>
                <a:schemeClr val="dk1"/>
              </a:solidFill>
              <a:latin typeface="+mn-lt"/>
              <a:ea typeface="+mn-ea"/>
              <a:cs typeface="+mn-cs"/>
            </a:rPr>
            <a:t>     else "Out of Q4"</a:t>
          </a:r>
        </a:p>
        <a:p>
          <a:r>
            <a:rPr lang="en-IN" sz="1100">
              <a:solidFill>
                <a:schemeClr val="dk1"/>
              </a:solidFill>
              <a:latin typeface="+mn-lt"/>
              <a:ea typeface="+mn-ea"/>
              <a:cs typeface="+mn-cs"/>
            </a:rPr>
            <a:t>6. payment_method matches one of the 5 defined options = "Yes". Checked it using column profiling, column distribution and column quality.</a:t>
          </a:r>
        </a:p>
        <a:p>
          <a:r>
            <a:rPr lang="en-IN" sz="1100">
              <a:solidFill>
                <a:schemeClr val="dk1"/>
              </a:solidFill>
              <a:latin typeface="+mn-lt"/>
              <a:ea typeface="+mn-ea"/>
              <a:cs typeface="+mn-cs"/>
            </a:rPr>
            <a:t>7. If delivery_status = "Delivered", then delivery_date must exist = "Yes". checked by first sorting status = "Delivered" and the checking the column profiling, column distribution and column quality for Deliver_date with no null values, and</a:t>
          </a:r>
          <a:r>
            <a:rPr lang="en-IN" sz="1100" baseline="0">
              <a:solidFill>
                <a:schemeClr val="dk1"/>
              </a:solidFill>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dk1"/>
              </a:solidFill>
              <a:latin typeface="+mn-lt"/>
              <a:ea typeface="+mn-ea"/>
              <a:cs typeface="+mn-cs"/>
            </a:rPr>
            <a:t>     </a:t>
          </a:r>
          <a:r>
            <a:rPr lang="en-IN" sz="1100">
              <a:solidFill>
                <a:schemeClr val="dk1"/>
              </a:solidFill>
              <a:effectLst/>
              <a:latin typeface="+mn-lt"/>
              <a:ea typeface="+mn-ea"/>
              <a:cs typeface="+mn-cs"/>
            </a:rPr>
            <a:t>Delivery_Date_Validation with "Valid Date".</a:t>
          </a:r>
          <a:endParaRPr lang="en-IN" sz="1100" baseline="0">
            <a:solidFill>
              <a:schemeClr val="dk1"/>
            </a:solidFill>
            <a:latin typeface="+mn-lt"/>
            <a:ea typeface="+mn-ea"/>
            <a:cs typeface="+mn-cs"/>
          </a:endParaRPr>
        </a:p>
        <a:p>
          <a:r>
            <a:rPr lang="en-IN" sz="1100">
              <a:solidFill>
                <a:schemeClr val="dk1"/>
              </a:solidFill>
              <a:latin typeface="+mn-lt"/>
              <a:ea typeface="+mn-ea"/>
              <a:cs typeface="+mn-cs"/>
            </a:rPr>
            <a:t>8. If return_initiated = "No", then return_reason must be blank = "Yes". checked it by sorting return = "No" and then return_reason column profiling, column distribution and column quality with all null values.</a:t>
          </a:r>
        </a:p>
        <a:p>
          <a:r>
            <a:rPr lang="en-IN" sz="1100">
              <a:solidFill>
                <a:schemeClr val="dk1"/>
              </a:solidFill>
              <a:latin typeface="+mn-lt"/>
              <a:ea typeface="+mn-ea"/>
              <a:cs typeface="+mn-cs"/>
            </a:rPr>
            <a:t>9. Warehouse_origin is one of Mumbai, Delhi, Bangalore = "Yes". Checked it using column profiling, column distribution and column quality.</a:t>
          </a:r>
        </a:p>
        <a:p>
          <a:r>
            <a:rPr lang="en-IN" sz="1100">
              <a:solidFill>
                <a:schemeClr val="dk1"/>
              </a:solidFill>
              <a:latin typeface="+mn-lt"/>
              <a:ea typeface="+mn-ea"/>
              <a:cs typeface="+mn-cs"/>
            </a:rPr>
            <a:t>10. Refund_status = "Not Applicable" when return_initiated = "No" . Checked it by sorting return_initiated = "No" and then refund_status column profiling, column distribution and column quality with refund_status = "Not Applicable".</a:t>
          </a:r>
        </a:p>
        <a:p>
          <a:r>
            <a:rPr lang="en-IN" sz="1100">
              <a:solidFill>
                <a:schemeClr val="dk1"/>
              </a:solidFill>
              <a:latin typeface="+mn-lt"/>
              <a:ea typeface="+mn-ea"/>
              <a:cs typeface="+mn-cs"/>
            </a:rPr>
            <a:t>11. For orders with delivery_status = "RTO", that return_initiated = "No" and Return_Date_validation = "Not Delivered". Checked by sorting delivery_status = "RTO" and column profiling, column distribution and column quality for return_initiated = "No" and Return_Date_Validation = "Not Delivered".</a:t>
          </a:r>
        </a:p>
        <a:p>
          <a:r>
            <a:rPr lang="en-IN" sz="1100">
              <a:solidFill>
                <a:schemeClr val="dk1"/>
              </a:solidFill>
              <a:latin typeface="+mn-lt"/>
              <a:ea typeface="+mn-ea"/>
              <a:cs typeface="+mn-cs"/>
            </a:rPr>
            <a:t>12. For customer_type = "New", the customer_id for CUST_10001 and CUST_10340 appears twice. Checked by sorting Customer_Type = "New" and then Column profiling, column distribution customer_id where the CUST_10001 and CUST_10340 appears twice. The total count of New users are 270, the distinct count are 268 which indicates that there are 268 different users, but unique count = 266 which indicates that out of 268 different users 266 are real "New" users and rest two are Flag.</a:t>
          </a:r>
        </a:p>
        <a:p>
          <a:r>
            <a:rPr lang="en-IN" sz="1100">
              <a:solidFill>
                <a:schemeClr val="dk1"/>
              </a:solidFill>
              <a:latin typeface="+mn-lt"/>
              <a:ea typeface="+mn-ea"/>
              <a:cs typeface="+mn-cs"/>
            </a:rPr>
            <a:t>13. Calculated the delivery time, by creating custom Delivery_Time_Validation with the logic</a:t>
          </a:r>
        </a:p>
        <a:p>
          <a:r>
            <a:rPr lang="en-IN" sz="1100">
              <a:solidFill>
                <a:schemeClr val="dk1"/>
              </a:solidFill>
              <a:latin typeface="+mn-lt"/>
              <a:ea typeface="+mn-ea"/>
              <a:cs typeface="+mn-cs"/>
            </a:rPr>
            <a:t>if [Delivery Date] = null then "Not delivered"</a:t>
          </a:r>
        </a:p>
        <a:p>
          <a:r>
            <a:rPr lang="en-IN" sz="1100">
              <a:solidFill>
                <a:schemeClr val="dk1"/>
              </a:solidFill>
              <a:latin typeface="+mn-lt"/>
              <a:ea typeface="+mn-ea"/>
              <a:cs typeface="+mn-cs"/>
            </a:rPr>
            <a:t>else if Duration.Days([Delivery Date] - [Order Date]) &lt; 0 then "Invalid Delivery Date"</a:t>
          </a:r>
        </a:p>
        <a:p>
          <a:r>
            <a:rPr lang="en-IN" sz="1100">
              <a:solidFill>
                <a:schemeClr val="dk1"/>
              </a:solidFill>
              <a:latin typeface="+mn-lt"/>
              <a:ea typeface="+mn-ea"/>
              <a:cs typeface="+mn-cs"/>
            </a:rPr>
            <a:t>else if Duration.Days([Delivery Date] - [Order Date]) &gt; 30 then "Late delivery"</a:t>
          </a:r>
        </a:p>
        <a:p>
          <a:r>
            <a:rPr lang="en-IN" sz="1100">
              <a:solidFill>
                <a:schemeClr val="dk1"/>
              </a:solidFill>
              <a:latin typeface="+mn-lt"/>
              <a:ea typeface="+mn-ea"/>
              <a:cs typeface="+mn-cs"/>
            </a:rPr>
            <a:t>else "On time delivery"</a:t>
          </a:r>
        </a:p>
        <a:p>
          <a:r>
            <a:rPr lang="en-IN" sz="1100">
              <a:solidFill>
                <a:schemeClr val="dk1"/>
              </a:solidFill>
              <a:latin typeface="+mn-lt"/>
              <a:ea typeface="+mn-ea"/>
              <a:cs typeface="+mn-cs"/>
            </a:rPr>
            <a:t>14. Verified Return_Window_Validation for &gt; 30 as exxeption by creating custom column named "Return_Window_Validation" with logic:</a:t>
          </a:r>
        </a:p>
        <a:p>
          <a:r>
            <a:rPr lang="en-IN" sz="1100">
              <a:solidFill>
                <a:schemeClr val="dk1"/>
              </a:solidFill>
              <a:latin typeface="+mn-lt"/>
              <a:ea typeface="+mn-ea"/>
              <a:cs typeface="+mn-cs"/>
            </a:rPr>
            <a:t>if [Return Received] = null then "Not returned"</a:t>
          </a:r>
        </a:p>
        <a:p>
          <a:r>
            <a:rPr lang="en-IN" sz="1100">
              <a:solidFill>
                <a:schemeClr val="dk1"/>
              </a:solidFill>
              <a:latin typeface="+mn-lt"/>
              <a:ea typeface="+mn-ea"/>
              <a:cs typeface="+mn-cs"/>
            </a:rPr>
            <a:t>else if [Delivery Date] = null then "Not Delivered"</a:t>
          </a:r>
        </a:p>
        <a:p>
          <a:r>
            <a:rPr lang="en-IN" sz="1100">
              <a:solidFill>
                <a:schemeClr val="dk1"/>
              </a:solidFill>
              <a:latin typeface="+mn-lt"/>
              <a:ea typeface="+mn-ea"/>
              <a:cs typeface="+mn-cs"/>
            </a:rPr>
            <a:t>else if Duration.Days([Return Received] - [Delivery Date]) &gt; 30</a:t>
          </a:r>
        </a:p>
        <a:p>
          <a:r>
            <a:rPr lang="en-IN" sz="1100">
              <a:solidFill>
                <a:schemeClr val="dk1"/>
              </a:solidFill>
              <a:latin typeface="+mn-lt"/>
              <a:ea typeface="+mn-ea"/>
              <a:cs typeface="+mn-cs"/>
            </a:rPr>
            <a:t>then "Exception"</a:t>
          </a:r>
        </a:p>
        <a:p>
          <a:r>
            <a:rPr lang="en-IN" sz="1100">
              <a:solidFill>
                <a:schemeClr val="dk1"/>
              </a:solidFill>
              <a:latin typeface="+mn-lt"/>
              <a:ea typeface="+mn-ea"/>
              <a:cs typeface="+mn-cs"/>
            </a:rPr>
            <a:t>else "Valid"</a:t>
          </a:r>
        </a:p>
        <a:p>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91440</xdr:colOff>
      <xdr:row>0</xdr:row>
      <xdr:rowOff>60960</xdr:rowOff>
    </xdr:from>
    <xdr:to>
      <xdr:col>24</xdr:col>
      <xdr:colOff>76200</xdr:colOff>
      <xdr:row>66</xdr:row>
      <xdr:rowOff>22860</xdr:rowOff>
    </xdr:to>
    <xdr:sp macro="" textlink="">
      <xdr:nvSpPr>
        <xdr:cNvPr id="2" name="TextBox 1">
          <a:extLst>
            <a:ext uri="{FF2B5EF4-FFF2-40B4-BE49-F238E27FC236}">
              <a16:creationId xmlns:a16="http://schemas.microsoft.com/office/drawing/2014/main" id="{E6DFFC87-212F-3F44-DB8A-2DC753C0B775}"/>
            </a:ext>
          </a:extLst>
        </xdr:cNvPr>
        <xdr:cNvSpPr txBox="1"/>
      </xdr:nvSpPr>
      <xdr:spPr>
        <a:xfrm>
          <a:off x="91440" y="60960"/>
          <a:ext cx="14615160" cy="12031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i="1">
              <a:solidFill>
                <a:schemeClr val="dk1"/>
              </a:solidFill>
              <a:latin typeface="+mn-lt"/>
              <a:ea typeface="+mn-ea"/>
              <a:cs typeface="+mn-cs"/>
            </a:rPr>
            <a:t>Analysis (SECTION 3: DATA ANALYSIS TASKS)</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3.1 Descriptive Analysis</a:t>
          </a:r>
        </a:p>
        <a:p>
          <a:r>
            <a:rPr lang="en-IN" sz="1100">
              <a:solidFill>
                <a:schemeClr val="dk1"/>
              </a:solidFill>
              <a:latin typeface="+mn-lt"/>
              <a:ea typeface="+mn-ea"/>
              <a:cs typeface="+mn-cs"/>
            </a:rPr>
            <a:t>Before doing any analysis, I have removed the inconsistent data that may affect the analysis (wrong data). Because keeping wrong data will lead to wrong business decisions, even excluding the wrong data will lead to less impactful decisions, but removing the wrong data is better than keeping them. I didn't alter the raw data as it is unprofessional way to handle the data.</a:t>
          </a:r>
        </a:p>
        <a:p>
          <a:endParaRPr lang="en-IN" sz="1100">
            <a:solidFill>
              <a:schemeClr val="dk1"/>
            </a:solidFill>
            <a:latin typeface="+mn-lt"/>
            <a:ea typeface="+mn-ea"/>
            <a:cs typeface="+mn-cs"/>
          </a:endParaRPr>
        </a:p>
        <a:p>
          <a:r>
            <a:rPr lang="en-IN" sz="1100">
              <a:solidFill>
                <a:schemeClr val="dk1"/>
              </a:solidFill>
              <a:latin typeface="+mn-lt"/>
              <a:ea typeface="+mn-ea"/>
              <a:cs typeface="+mn-cs"/>
            </a:rPr>
            <a:t>1. Calculated Total Orders, Total revenue (after discount) and total units sold using pivot in separate tab named "Q4_summary_Dashboard"</a:t>
          </a:r>
        </a:p>
        <a:p>
          <a:r>
            <a:rPr lang="en-IN" sz="1100">
              <a:solidFill>
                <a:schemeClr val="dk1"/>
              </a:solidFill>
              <a:latin typeface="+mn-lt"/>
              <a:ea typeface="+mn-ea"/>
              <a:cs typeface="+mn-cs"/>
            </a:rPr>
            <a:t>2. Calculated AOV = total revenue/total order</a:t>
          </a:r>
        </a:p>
        <a:p>
          <a:r>
            <a:rPr lang="en-IN" sz="1100">
              <a:solidFill>
                <a:schemeClr val="dk1"/>
              </a:solidFill>
              <a:latin typeface="+mn-lt"/>
              <a:ea typeface="+mn-ea"/>
              <a:cs typeface="+mn-cs"/>
            </a:rPr>
            <a:t>3. Calculated Overall return rate = countif(return_Initiated,"Yes")/countif(delivery_status,"Delivered")</a:t>
          </a:r>
        </a:p>
        <a:p>
          <a:r>
            <a:rPr lang="en-IN" sz="1100">
              <a:solidFill>
                <a:schemeClr val="dk1"/>
              </a:solidFill>
              <a:latin typeface="+mn-lt"/>
              <a:ea typeface="+mn-ea"/>
              <a:cs typeface="+mn-cs"/>
            </a:rPr>
            <a:t>4. In pivot table, added order_date to rows and filtered with months, which will give total orders by month.</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3.2 Trend Identification</a:t>
          </a:r>
        </a:p>
        <a:p>
          <a:endParaRPr lang="en-IN" sz="1100">
            <a:solidFill>
              <a:schemeClr val="dk1"/>
            </a:solidFill>
            <a:latin typeface="+mn-lt"/>
            <a:ea typeface="+mn-ea"/>
            <a:cs typeface="+mn-cs"/>
          </a:endParaRPr>
        </a:p>
        <a:p>
          <a:r>
            <a:rPr lang="en-IN" sz="1100">
              <a:solidFill>
                <a:schemeClr val="dk1"/>
              </a:solidFill>
              <a:latin typeface="+mn-lt"/>
              <a:ea typeface="+mn-ea"/>
              <a:cs typeface="+mn-cs"/>
            </a:rPr>
            <a:t>1. Analyzed weekly trends for order volume by creating a pivot table, grouped the order_date with 7 days gap from 01-10-2024 to 01-10-2025 and counted the orderID, giving the orders for each week.</a:t>
          </a:r>
        </a:p>
        <a:p>
          <a:r>
            <a:rPr lang="en-IN" sz="1100">
              <a:solidFill>
                <a:schemeClr val="dk1"/>
              </a:solidFill>
              <a:latin typeface="+mn-lt"/>
              <a:ea typeface="+mn-ea"/>
              <a:cs typeface="+mn-cs"/>
            </a:rPr>
            <a:t>2. Analyzed return rate by counting the return_rate.</a:t>
          </a:r>
        </a:p>
        <a:p>
          <a:r>
            <a:rPr lang="en-IN" sz="1100">
              <a:solidFill>
                <a:schemeClr val="dk1"/>
              </a:solidFill>
              <a:latin typeface="+mn-lt"/>
              <a:ea typeface="+mn-ea"/>
              <a:cs typeface="+mn-cs"/>
            </a:rPr>
            <a:t>3. Analzed weekly trends for average discount applied by applying average of discount % given to the order.</a:t>
          </a:r>
        </a:p>
        <a:p>
          <a:endParaRPr lang="en-IN" sz="1100">
            <a:solidFill>
              <a:schemeClr val="dk1"/>
            </a:solidFill>
            <a:latin typeface="+mn-lt"/>
            <a:ea typeface="+mn-ea"/>
            <a:cs typeface="+mn-cs"/>
          </a:endParaRPr>
        </a:p>
        <a:p>
          <a:r>
            <a:rPr lang="en-IN" sz="1100">
              <a:solidFill>
                <a:schemeClr val="dk1"/>
              </a:solidFill>
              <a:latin typeface="+mn-lt"/>
              <a:ea typeface="+mn-ea"/>
              <a:cs typeface="+mn-cs"/>
            </a:rPr>
            <a:t>1) Was there a noticeable spike during Diwali week (Oct 28 - Nov 3)?</a:t>
          </a:r>
        </a:p>
        <a:p>
          <a:r>
            <a:rPr lang="en-IN" sz="1100">
              <a:solidFill>
                <a:schemeClr val="dk1"/>
              </a:solidFill>
              <a:latin typeface="+mn-lt"/>
              <a:ea typeface="+mn-ea"/>
              <a:cs typeface="+mn-cs"/>
            </a:rPr>
            <a:t>-&gt; Yes there was a minor  noticible sipke during Oct 28 - Nov 3, after the Diwali there is a mojor drop in order volume till 2nd and 3rd week of Dec.</a:t>
          </a:r>
        </a:p>
        <a:p>
          <a:endParaRPr lang="en-IN" sz="1100">
            <a:solidFill>
              <a:schemeClr val="dk1"/>
            </a:solidFill>
            <a:latin typeface="+mn-lt"/>
            <a:ea typeface="+mn-ea"/>
            <a:cs typeface="+mn-cs"/>
          </a:endParaRPr>
        </a:p>
        <a:p>
          <a:r>
            <a:rPr lang="en-IN" sz="1100">
              <a:solidFill>
                <a:schemeClr val="dk1"/>
              </a:solidFill>
              <a:latin typeface="+mn-lt"/>
              <a:ea typeface="+mn-ea"/>
              <a:cs typeface="+mn-cs"/>
            </a:rPr>
            <a:t>2) Did return rates lag behind order spikes by 2-3 weeks (as returns take time)?</a:t>
          </a:r>
        </a:p>
        <a:p>
          <a:r>
            <a:rPr lang="en-IN" sz="1100">
              <a:solidFill>
                <a:schemeClr val="dk1"/>
              </a:solidFill>
              <a:latin typeface="+mn-lt"/>
              <a:ea typeface="+mn-ea"/>
              <a:cs typeface="+mn-cs"/>
            </a:rPr>
            <a:t>-&gt; Yes during Diwali the return rate spike, the returns are the order before Diwali. After Diwali there is no return rate spike.</a:t>
          </a:r>
        </a:p>
        <a:p>
          <a:endParaRPr lang="en-IN" sz="1100">
            <a:solidFill>
              <a:schemeClr val="dk1"/>
            </a:solidFill>
            <a:latin typeface="+mn-lt"/>
            <a:ea typeface="+mn-ea"/>
            <a:cs typeface="+mn-cs"/>
          </a:endParaRPr>
        </a:p>
        <a:p>
          <a:r>
            <a:rPr lang="en-IN" sz="1100">
              <a:solidFill>
                <a:schemeClr val="dk1"/>
              </a:solidFill>
              <a:latin typeface="+mn-lt"/>
              <a:ea typeface="+mn-ea"/>
              <a:cs typeface="+mn-cs"/>
            </a:rPr>
            <a:t>3) Did heavy discounting correlate with higher return rates?</a:t>
          </a:r>
        </a:p>
        <a:p>
          <a:r>
            <a:rPr lang="en-IN" sz="1100">
              <a:solidFill>
                <a:schemeClr val="dk1"/>
              </a:solidFill>
              <a:latin typeface="+mn-lt"/>
              <a:ea typeface="+mn-ea"/>
              <a:cs typeface="+mn-cs"/>
            </a:rPr>
            <a:t>-&gt; No, heavy discounting didn't correlate with higher return rate. In Diwali week there was a average of 40 % discount, after Diwali there is no spike in return rate.</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3.3 Segmentation Analysis</a:t>
          </a:r>
        </a:p>
        <a:p>
          <a:endParaRPr lang="en-IN" sz="1100">
            <a:solidFill>
              <a:schemeClr val="dk1"/>
            </a:solidFill>
            <a:latin typeface="+mn-lt"/>
            <a:ea typeface="+mn-ea"/>
            <a:cs typeface="+mn-cs"/>
          </a:endParaRPr>
        </a:p>
        <a:p>
          <a:r>
            <a:rPr lang="en-IN" sz="1100">
              <a:solidFill>
                <a:schemeClr val="dk1"/>
              </a:solidFill>
              <a:latin typeface="+mn-lt"/>
              <a:ea typeface="+mn-ea"/>
              <a:cs typeface="+mn-cs"/>
            </a:rPr>
            <a:t>1. Created a comparison table for new vs returning segment for Order volume, average order volume and return rate. As new segment is more profitable even after conceding more returns.</a:t>
          </a:r>
        </a:p>
        <a:p>
          <a:r>
            <a:rPr lang="en-IN" sz="1100">
              <a:solidFill>
                <a:schemeClr val="dk1"/>
              </a:solidFill>
              <a:latin typeface="+mn-lt"/>
              <a:ea typeface="+mn-ea"/>
              <a:cs typeface="+mn-cs"/>
            </a:rPr>
            <a:t>2. Created a new table for order source with same specs. </a:t>
          </a:r>
        </a:p>
        <a:p>
          <a:r>
            <a:rPr lang="en-IN" sz="1100">
              <a:solidFill>
                <a:schemeClr val="dk1"/>
              </a:solidFill>
              <a:latin typeface="+mn-lt"/>
              <a:ea typeface="+mn-ea"/>
              <a:cs typeface="+mn-cs"/>
            </a:rPr>
            <a:t>3. Which channel has the best return rate? Highest AOV?</a:t>
          </a:r>
          <a:br>
            <a:rPr lang="en-IN" sz="1100">
              <a:solidFill>
                <a:schemeClr val="dk1"/>
              </a:solidFill>
              <a:latin typeface="+mn-lt"/>
              <a:ea typeface="+mn-ea"/>
              <a:cs typeface="+mn-cs"/>
            </a:rPr>
          </a:br>
          <a:r>
            <a:rPr lang="en-IN" sz="1100">
              <a:solidFill>
                <a:schemeClr val="dk1"/>
              </a:solidFill>
              <a:latin typeface="+mn-lt"/>
              <a:ea typeface="+mn-ea"/>
              <a:cs typeface="+mn-cs"/>
            </a:rPr>
            <a:t>-&gt;Website channel has best return rate but highegst Aov is with instagram shop.</a:t>
          </a:r>
        </a:p>
        <a:p>
          <a:r>
            <a:rPr lang="en-IN" sz="1100">
              <a:solidFill>
                <a:schemeClr val="dk1"/>
              </a:solidFill>
              <a:latin typeface="+mn-lt"/>
              <a:ea typeface="+mn-ea"/>
              <a:cs typeface="+mn-cs"/>
            </a:rPr>
            <a:t>4. Created a new table for payment type. </a:t>
          </a:r>
        </a:p>
        <a:p>
          <a:r>
            <a:rPr lang="en-IN" sz="1100">
              <a:solidFill>
                <a:schemeClr val="dk1"/>
              </a:solidFill>
              <a:latin typeface="+mn-lt"/>
              <a:ea typeface="+mn-ea"/>
              <a:cs typeface="+mn-cs"/>
            </a:rPr>
            <a:t>5. Is COD (Cash on Delivery) associated with higher return/RTO rates compared to prepaid methods?</a:t>
          </a:r>
          <a:br>
            <a:rPr lang="en-IN" sz="1100">
              <a:solidFill>
                <a:schemeClr val="dk1"/>
              </a:solidFill>
              <a:latin typeface="+mn-lt"/>
              <a:ea typeface="+mn-ea"/>
              <a:cs typeface="+mn-cs"/>
            </a:rPr>
          </a:br>
          <a:r>
            <a:rPr lang="en-IN" sz="1100">
              <a:solidFill>
                <a:schemeClr val="dk1"/>
              </a:solidFill>
              <a:latin typeface="+mn-lt"/>
              <a:ea typeface="+mn-ea"/>
              <a:cs typeface="+mn-cs"/>
            </a:rPr>
            <a:t>-&gt; No COD doesn't have highest but have 2nd highest return rate.</a:t>
          </a:r>
        </a:p>
        <a:p>
          <a:r>
            <a:rPr lang="en-IN" sz="1100">
              <a:solidFill>
                <a:schemeClr val="dk1"/>
              </a:solidFill>
              <a:latin typeface="+mn-lt"/>
              <a:ea typeface="+mn-ea"/>
              <a:cs typeface="+mn-cs"/>
            </a:rPr>
            <a:t>6. Created a new table for product category.</a:t>
          </a:r>
        </a:p>
        <a:p>
          <a:r>
            <a:rPr lang="en-IN" sz="1100">
              <a:solidFill>
                <a:schemeClr val="dk1"/>
              </a:solidFill>
              <a:latin typeface="+mn-lt"/>
              <a:ea typeface="+mn-ea"/>
              <a:cs typeface="+mn-cs"/>
            </a:rPr>
            <a:t>7. Which category has the highest return rate?  </a:t>
          </a:r>
          <a:br>
            <a:rPr lang="en-IN" sz="1100">
              <a:solidFill>
                <a:schemeClr val="dk1"/>
              </a:solidFill>
              <a:latin typeface="+mn-lt"/>
              <a:ea typeface="+mn-ea"/>
              <a:cs typeface="+mn-cs"/>
            </a:rPr>
          </a:br>
          <a:r>
            <a:rPr lang="en-IN" sz="1100">
              <a:solidFill>
                <a:schemeClr val="dk1"/>
              </a:solidFill>
              <a:latin typeface="+mn-lt"/>
              <a:ea typeface="+mn-ea"/>
              <a:cs typeface="+mn-cs"/>
            </a:rPr>
            <a:t>-&gt; Outwear category has the highest return rate.</a:t>
          </a:r>
          <a:br>
            <a:rPr lang="en-IN" sz="1100">
              <a:solidFill>
                <a:schemeClr val="dk1"/>
              </a:solidFill>
              <a:latin typeface="+mn-lt"/>
              <a:ea typeface="+mn-ea"/>
              <a:cs typeface="+mn-cs"/>
            </a:rPr>
          </a:br>
          <a:r>
            <a:rPr lang="en-IN" sz="1100">
              <a:solidFill>
                <a:schemeClr val="dk1"/>
              </a:solidFill>
              <a:latin typeface="+mn-lt"/>
              <a:ea typeface="+mn-ea"/>
              <a:cs typeface="+mn-cs"/>
            </a:rPr>
            <a:t>8. Is this category also high-volume or is it a smaller, problematic segment?</a:t>
          </a:r>
          <a:br>
            <a:rPr lang="en-IN" sz="1100">
              <a:solidFill>
                <a:schemeClr val="dk1"/>
              </a:solidFill>
              <a:latin typeface="+mn-lt"/>
              <a:ea typeface="+mn-ea"/>
              <a:cs typeface="+mn-cs"/>
            </a:rPr>
          </a:br>
          <a:r>
            <a:rPr lang="en-IN" sz="1100">
              <a:solidFill>
                <a:schemeClr val="dk1"/>
              </a:solidFill>
              <a:latin typeface="+mn-lt"/>
              <a:ea typeface="+mn-ea"/>
              <a:cs typeface="+mn-cs"/>
            </a:rPr>
            <a:t>-&gt; It is not the lowest or highest, but has 3rd best category for higher order volume, both accessories and outwear has equal order volume but sorted after return rate. The category doesn't seems to be problamatic.</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3.4 KPI Calculation</a:t>
          </a:r>
        </a:p>
        <a:p>
          <a:endParaRPr lang="en-IN" sz="1100">
            <a:solidFill>
              <a:schemeClr val="dk1"/>
            </a:solidFill>
            <a:latin typeface="+mn-lt"/>
            <a:ea typeface="+mn-ea"/>
            <a:cs typeface="+mn-cs"/>
          </a:endParaRPr>
        </a:p>
        <a:p>
          <a:r>
            <a:rPr lang="en-IN" sz="1100">
              <a:solidFill>
                <a:schemeClr val="dk1"/>
              </a:solidFill>
              <a:latin typeface="+mn-lt"/>
              <a:ea typeface="+mn-ea"/>
              <a:cs typeface="+mn-cs"/>
            </a:rPr>
            <a:t>1. Gross merchandize value = sum(total_revenue_without discount)</a:t>
          </a:r>
        </a:p>
        <a:p>
          <a:r>
            <a:rPr lang="en-IN" sz="1100">
              <a:solidFill>
                <a:schemeClr val="dk1"/>
              </a:solidFill>
              <a:latin typeface="+mn-lt"/>
              <a:ea typeface="+mn-ea"/>
              <a:cs typeface="+mn-cs"/>
            </a:rPr>
            <a:t>2. Net revenue = GMV-sum(discount)</a:t>
          </a:r>
        </a:p>
        <a:p>
          <a:r>
            <a:rPr lang="en-IN" sz="1100">
              <a:solidFill>
                <a:schemeClr val="dk1"/>
              </a:solidFill>
              <a:latin typeface="+mn-lt"/>
              <a:ea typeface="+mn-ea"/>
              <a:cs typeface="+mn-cs"/>
            </a:rPr>
            <a:t>3. return rate = countif(return,"yes")/count(delivered_date)*100</a:t>
          </a:r>
        </a:p>
        <a:p>
          <a:r>
            <a:rPr lang="en-IN" sz="1100">
              <a:solidFill>
                <a:schemeClr val="dk1"/>
              </a:solidFill>
              <a:latin typeface="+mn-lt"/>
              <a:ea typeface="+mn-ea"/>
              <a:cs typeface="+mn-cs"/>
            </a:rPr>
            <a:t>4. rto rate = countif(delivery_status,"rto")/count(delivery_date)*100</a:t>
          </a:r>
        </a:p>
        <a:p>
          <a:r>
            <a:rPr lang="en-IN" sz="1100">
              <a:solidFill>
                <a:schemeClr val="dk1"/>
              </a:solidFill>
              <a:latin typeface="+mn-lt"/>
              <a:ea typeface="+mn-ea"/>
              <a:cs typeface="+mn-cs"/>
            </a:rPr>
            <a:t>5. refund processing rate = countif(refund_status,"processed")/count(return_date)*100</a:t>
          </a:r>
        </a:p>
        <a:p>
          <a:r>
            <a:rPr lang="en-IN" sz="1100">
              <a:solidFill>
                <a:schemeClr val="dk1"/>
              </a:solidFill>
              <a:latin typeface="+mn-lt"/>
              <a:ea typeface="+mn-ea"/>
              <a:cs typeface="+mn-cs"/>
            </a:rPr>
            <a:t>6. 1st time buyer return rate, to calculate this created a pivot table, group customer_type, created colukmns with count(orderID), count(return_date). formulated in new customer type =return_date cell / orderID cell *100</a:t>
          </a:r>
        </a:p>
        <a:p>
          <a:r>
            <a:rPr lang="en-IN" sz="1100">
              <a:solidFill>
                <a:schemeClr val="dk1"/>
              </a:solidFill>
              <a:latin typeface="+mn-lt"/>
              <a:ea typeface="+mn-ea"/>
              <a:cs typeface="+mn-cs"/>
            </a:rPr>
            <a:t>7. returning type buyer return rate, to calculate this created a pivot table, group customer_type, created colukmns with count(orderID), count(return_date). formulated in returning customer type =return_date cell / orderID cell *100</a:t>
          </a:r>
        </a:p>
        <a:p>
          <a:r>
            <a:rPr lang="en-IN" sz="1100">
              <a:solidFill>
                <a:schemeClr val="dk1"/>
              </a:solidFill>
              <a:latin typeface="+mn-lt"/>
              <a:ea typeface="+mn-ea"/>
              <a:cs typeface="+mn-cs"/>
            </a:rPr>
            <a:t>8. bangalore fulfillment = countif(warehouse,"bangalore")/count(warehouse)*100</a:t>
          </a:r>
        </a:p>
        <a:p>
          <a:r>
            <a:rPr lang="en-IN" sz="1100">
              <a:solidFill>
                <a:schemeClr val="dk1"/>
              </a:solidFill>
              <a:latin typeface="+mn-lt"/>
              <a:ea typeface="+mn-ea"/>
              <a:cs typeface="+mn-cs"/>
            </a:rPr>
            <a:t>9. mumbai fulfillment = countif(warehouse,"mumbai")/count(warehouse)*100</a:t>
          </a:r>
        </a:p>
        <a:p>
          <a:r>
            <a:rPr lang="en-IN" sz="1100">
              <a:solidFill>
                <a:schemeClr val="dk1"/>
              </a:solidFill>
              <a:latin typeface="+mn-lt"/>
              <a:ea typeface="+mn-ea"/>
              <a:cs typeface="+mn-cs"/>
            </a:rPr>
            <a:t>10. delhi fulfillment = countif(warehouse,"delhi")/count(warehouse)*100</a:t>
          </a:r>
        </a:p>
        <a:p>
          <a:endParaRPr lang="en-IN" sz="1100">
            <a:solidFill>
              <a:schemeClr val="dk1"/>
            </a:solidFill>
            <a:latin typeface="+mn-lt"/>
            <a:ea typeface="+mn-ea"/>
            <a:cs typeface="+mn-cs"/>
          </a:endParaRPr>
        </a:p>
        <a:p>
          <a:r>
            <a:rPr lang="en-IN" sz="1100" i="1">
              <a:solidFill>
                <a:schemeClr val="dk1"/>
              </a:solidFill>
              <a:latin typeface="+mn-lt"/>
              <a:ea typeface="+mn-ea"/>
              <a:cs typeface="+mn-cs"/>
            </a:rPr>
            <a:t>3.5 Business Interpretation</a:t>
          </a:r>
        </a:p>
        <a:p>
          <a:endParaRPr lang="en-IN" sz="1100">
            <a:solidFill>
              <a:schemeClr val="dk1"/>
            </a:solidFill>
            <a:latin typeface="+mn-lt"/>
            <a:ea typeface="+mn-ea"/>
            <a:cs typeface="+mn-cs"/>
          </a:endParaRPr>
        </a:p>
        <a:p>
          <a:r>
            <a:rPr lang="en-IN" sz="1100">
              <a:solidFill>
                <a:schemeClr val="dk1"/>
              </a:solidFill>
              <a:latin typeface="+mn-lt"/>
              <a:ea typeface="+mn-ea"/>
              <a:cs typeface="+mn-cs"/>
            </a:rPr>
            <a:t>1. If the overall return rate is 19%, but returning customers have a 10% return rate while new customers have 28%, what does this tell you?</a:t>
          </a:r>
          <a:br>
            <a:rPr lang="en-IN" sz="1100">
              <a:solidFill>
                <a:schemeClr val="dk1"/>
              </a:solidFill>
              <a:latin typeface="+mn-lt"/>
              <a:ea typeface="+mn-ea"/>
              <a:cs typeface="+mn-cs"/>
            </a:rPr>
          </a:br>
          <a:r>
            <a:rPr lang="en-IN" sz="1100">
              <a:solidFill>
                <a:schemeClr val="dk1"/>
              </a:solidFill>
              <a:latin typeface="+mn-lt"/>
              <a:ea typeface="+mn-ea"/>
              <a:cs typeface="+mn-cs"/>
            </a:rPr>
            <a:t>-&gt; Returning customers are more loyal than new customer, more confident in sizing and low operational risk.</a:t>
          </a:r>
          <a:br>
            <a:rPr lang="en-IN" sz="1100">
              <a:solidFill>
                <a:schemeClr val="dk1"/>
              </a:solidFill>
              <a:latin typeface="+mn-lt"/>
              <a:ea typeface="+mn-ea"/>
              <a:cs typeface="+mn-cs"/>
            </a:rPr>
          </a:br>
          <a:r>
            <a:rPr lang="en-IN" sz="1100">
              <a:solidFill>
                <a:schemeClr val="dk1"/>
              </a:solidFill>
              <a:latin typeface="+mn-lt"/>
              <a:ea typeface="+mn-ea"/>
              <a:cs typeface="+mn-cs"/>
            </a:rPr>
            <a:t>-&gt; New customers are hight operational risk with high return rate and low net profitibility.</a:t>
          </a:r>
          <a:br>
            <a:rPr lang="en-IN" sz="1100">
              <a:solidFill>
                <a:schemeClr val="dk1"/>
              </a:solidFill>
              <a:latin typeface="+mn-lt"/>
              <a:ea typeface="+mn-ea"/>
              <a:cs typeface="+mn-cs"/>
            </a:rPr>
          </a:br>
          <a:r>
            <a:rPr lang="en-IN" sz="1100">
              <a:solidFill>
                <a:schemeClr val="dk1"/>
              </a:solidFill>
              <a:latin typeface="+mn-lt"/>
              <a:ea typeface="+mn-ea"/>
              <a:cs typeface="+mn-cs"/>
            </a:rPr>
            <a:t>-&gt; The company must focus more on retention strategy, while acquiring new customer is also better way to expand and this should be next priority after retention strategy.</a:t>
          </a:r>
        </a:p>
        <a:p>
          <a:r>
            <a:rPr lang="en-IN" sz="1100">
              <a:solidFill>
                <a:schemeClr val="dk1"/>
              </a:solidFill>
              <a:latin typeface="+mn-lt"/>
              <a:ea typeface="+mn-ea"/>
              <a:cs typeface="+mn-cs"/>
            </a:rPr>
            <a:t>2. If 45% of returns cite "Size Issue," what operational changes might help?</a:t>
          </a:r>
          <a:br>
            <a:rPr lang="en-IN" sz="1100">
              <a:solidFill>
                <a:schemeClr val="dk1"/>
              </a:solidFill>
              <a:latin typeface="+mn-lt"/>
              <a:ea typeface="+mn-ea"/>
              <a:cs typeface="+mn-cs"/>
            </a:rPr>
          </a:br>
          <a:r>
            <a:rPr lang="en-IN" sz="1100">
              <a:solidFill>
                <a:schemeClr val="dk1"/>
              </a:solidFill>
              <a:latin typeface="+mn-lt"/>
              <a:ea typeface="+mn-ea"/>
              <a:cs typeface="+mn-cs"/>
            </a:rPr>
            <a:t>-&gt; Making better size charts.</a:t>
          </a:r>
          <a:br>
            <a:rPr lang="en-IN" sz="1100">
              <a:solidFill>
                <a:schemeClr val="dk1"/>
              </a:solidFill>
              <a:latin typeface="+mn-lt"/>
              <a:ea typeface="+mn-ea"/>
              <a:cs typeface="+mn-cs"/>
            </a:rPr>
          </a:br>
          <a:r>
            <a:rPr lang="en-IN" sz="1100">
              <a:solidFill>
                <a:schemeClr val="dk1"/>
              </a:solidFill>
              <a:latin typeface="+mn-lt"/>
              <a:ea typeface="+mn-ea"/>
              <a:cs typeface="+mn-cs"/>
            </a:rPr>
            <a:t>-&gt; Fit comparision tools.</a:t>
          </a:r>
          <a:br>
            <a:rPr lang="en-IN" sz="1100">
              <a:solidFill>
                <a:schemeClr val="dk1"/>
              </a:solidFill>
              <a:latin typeface="+mn-lt"/>
              <a:ea typeface="+mn-ea"/>
              <a:cs typeface="+mn-cs"/>
            </a:rPr>
          </a:br>
          <a:r>
            <a:rPr lang="en-IN" sz="1100">
              <a:solidFill>
                <a:schemeClr val="dk1"/>
              </a:solidFill>
              <a:latin typeface="+mn-lt"/>
              <a:ea typeface="+mn-ea"/>
              <a:cs typeface="+mn-cs"/>
            </a:rPr>
            <a:t>-&gt; Taking customer feedback seriously and review the fit info.</a:t>
          </a:r>
        </a:p>
        <a:p>
          <a:r>
            <a:rPr lang="en-IN" sz="1100">
              <a:solidFill>
                <a:schemeClr val="dk1"/>
              </a:solidFill>
              <a:latin typeface="+mn-lt"/>
              <a:ea typeface="+mn-ea"/>
              <a:cs typeface="+mn-cs"/>
            </a:rPr>
            <a:t>3. If Instagram Shop has the highest return rate, should we shut it down? What else would you want to know before recommending that?</a:t>
          </a:r>
          <a:br>
            <a:rPr lang="en-IN" sz="1100">
              <a:solidFill>
                <a:schemeClr val="dk1"/>
              </a:solidFill>
              <a:latin typeface="+mn-lt"/>
              <a:ea typeface="+mn-ea"/>
              <a:cs typeface="+mn-cs"/>
            </a:rPr>
          </a:br>
          <a:r>
            <a:rPr lang="en-IN" sz="1100">
              <a:solidFill>
                <a:schemeClr val="dk1"/>
              </a:solidFill>
              <a:latin typeface="+mn-lt"/>
              <a:ea typeface="+mn-ea"/>
              <a:cs typeface="+mn-cs"/>
            </a:rPr>
            <a:t>-&gt; As far as instagram customers are contributing around 30%  revenue and high return rate still be net profitible.</a:t>
          </a:r>
          <a:br>
            <a:rPr lang="en-IN" sz="1100">
              <a:solidFill>
                <a:schemeClr val="dk1"/>
              </a:solidFill>
              <a:latin typeface="+mn-lt"/>
              <a:ea typeface="+mn-ea"/>
              <a:cs typeface="+mn-cs"/>
            </a:rPr>
          </a:br>
          <a:r>
            <a:rPr lang="en-IN" sz="1100">
              <a:solidFill>
                <a:schemeClr val="dk1"/>
              </a:solidFill>
              <a:latin typeface="+mn-lt"/>
              <a:ea typeface="+mn-ea"/>
              <a:cs typeface="+mn-cs"/>
            </a:rPr>
            <a:t>-&gt; If the higher AOV has higher return rate than listing low AOV products will be better than completely shutting down.</a:t>
          </a:r>
          <a:br>
            <a:rPr lang="en-IN" sz="1100">
              <a:solidFill>
                <a:schemeClr val="dk1"/>
              </a:solidFill>
              <a:latin typeface="+mn-lt"/>
              <a:ea typeface="+mn-ea"/>
              <a:cs typeface="+mn-cs"/>
            </a:rPr>
          </a:br>
          <a:r>
            <a:rPr lang="en-IN" sz="1100">
              <a:solidFill>
                <a:schemeClr val="dk1"/>
              </a:solidFill>
              <a:latin typeface="+mn-lt"/>
              <a:ea typeface="+mn-ea"/>
              <a:cs typeface="+mn-cs"/>
            </a:rPr>
            <a:t>-&gt; As new customer is having higher return rate than instagram is mostly sourcing new customer which tends to higher return rate.</a:t>
          </a:r>
          <a:br>
            <a:rPr lang="en-IN" sz="1100">
              <a:solidFill>
                <a:schemeClr val="dk1"/>
              </a:solidFill>
              <a:latin typeface="+mn-lt"/>
              <a:ea typeface="+mn-ea"/>
              <a:cs typeface="+mn-cs"/>
            </a:rPr>
          </a:br>
          <a:r>
            <a:rPr lang="en-IN" sz="1100">
              <a:solidFill>
                <a:schemeClr val="dk1"/>
              </a:solidFill>
              <a:latin typeface="+mn-lt"/>
              <a:ea typeface="+mn-ea"/>
              <a:cs typeface="+mn-cs"/>
            </a:rPr>
            <a:t>-&gt; Before shutting down I would like to know, different product mix in orders, heavy discount.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owda" refreshedDate="46075.660018634262" createdVersion="8" refreshedVersion="8" minRefreshableVersion="3" recordCount="339" xr:uid="{9AC76C33-7B9F-43AD-A1C4-F428704F8202}">
  <cacheSource type="worksheet">
    <worksheetSource name="Table1_12"/>
  </cacheSource>
  <cacheFields count="35">
    <cacheField name="Order ID" numFmtId="0">
      <sharedItems count="339">
        <s v="UT-100004"/>
        <s v="UT-100006"/>
        <s v="UT-100007"/>
        <s v="UT-100008"/>
        <s v="UT-100009"/>
        <s v="UT-100011"/>
        <s v="UT-100012"/>
        <s v="UT-100013"/>
        <s v="UT-100014"/>
        <s v="UT-100015"/>
        <s v="UT-100016"/>
        <s v="UT-100017"/>
        <s v="UT-100018"/>
        <s v="UT-100019"/>
        <s v="UT-100020"/>
        <s v="UT-100021"/>
        <s v="UT-100022"/>
        <s v="UT-100023"/>
        <s v="UT-100024"/>
        <s v="UT-100025"/>
        <s v="UT-100026"/>
        <s v="UT-100027"/>
        <s v="UT-100028"/>
        <s v="UT-100029"/>
        <s v="UT-100030"/>
        <s v="UT-100031"/>
        <s v="UT-100032"/>
        <s v="UT-100033"/>
        <s v="UT-100034"/>
        <s v="UT-100035"/>
        <s v="UT-100036"/>
        <s v="UT-100037"/>
        <s v="UT-100038"/>
        <s v="UT-100039"/>
        <s v="UT-100040"/>
        <s v="UT-100041"/>
        <s v="UT-100042"/>
        <s v="UT-100043"/>
        <s v="UT-100044"/>
        <s v="UT-100045"/>
        <s v="UT-100046"/>
        <s v="UT-100047"/>
        <s v="UT-100048"/>
        <s v="UT-100049"/>
        <s v="UT-100050"/>
        <s v="UT-100051"/>
        <s v="UT-100052"/>
        <s v="UT-100053"/>
        <s v="UT-100054"/>
        <s v="UT-100055"/>
        <s v="UT-100056"/>
        <s v="UT-100057"/>
        <s v="UT-100058"/>
        <s v="UT-100059"/>
        <s v="UT-100060"/>
        <s v="UT-100061"/>
        <s v="UT-100062"/>
        <s v="UT-100063"/>
        <s v="UT-100064"/>
        <s v="UT-100065"/>
        <s v="UT-100066"/>
        <s v="UT-100067"/>
        <s v="UT-100068"/>
        <s v="UT-100069"/>
        <s v="UT-100070"/>
        <s v="UT-100071"/>
        <s v="UT-100072"/>
        <s v="UT-100073"/>
        <s v="UT-100074"/>
        <s v="UT-100075"/>
        <s v="UT-100076"/>
        <s v="UT-100077"/>
        <s v="UT-100078"/>
        <s v="UT-100079"/>
        <s v="UT-100080"/>
        <s v="UT-100081"/>
        <s v="UT-100082"/>
        <s v="UT-100083"/>
        <s v="UT-100084"/>
        <s v="UT-100085"/>
        <s v="UT-100086"/>
        <s v="UT-100087"/>
        <s v="UT-100088"/>
        <s v="UT-100089"/>
        <s v="UT-100090"/>
        <s v="UT-100091"/>
        <s v="UT-100092"/>
        <s v="UT-100093"/>
        <s v="UT-100094"/>
        <s v="UT-100095"/>
        <s v="UT-100096"/>
        <s v="UT-100097"/>
        <s v="UT-100098"/>
        <s v="UT-100099"/>
        <s v="UT-100100"/>
        <s v="UT-100101"/>
        <s v="UT-100102"/>
        <s v="UT-100103"/>
        <s v="UT-100104"/>
        <s v="UT-100105"/>
        <s v="UT-100106"/>
        <s v="UT-100107"/>
        <s v="UT-100108"/>
        <s v="UT-100109"/>
        <s v="UT-100110"/>
        <s v="UT-100111"/>
        <s v="UT-100112"/>
        <s v="UT-100113"/>
        <s v="UT-100114"/>
        <s v="UT-100115"/>
        <s v="UT-100116"/>
        <s v="UT-100117"/>
        <s v="UT-100118"/>
        <s v="UT-100119"/>
        <s v="UT-100120"/>
        <s v="UT-100121"/>
        <s v="UT-100122"/>
        <s v="UT-100123"/>
        <s v="UT-100124"/>
        <s v="UT-100125"/>
        <s v="UT-100126"/>
        <s v="UT-100127"/>
        <s v="UT-100128"/>
        <s v="UT-100129"/>
        <s v="UT-100130"/>
        <s v="UT-100131"/>
        <s v="UT-100132"/>
        <s v="UT-100133"/>
        <s v="UT-100134"/>
        <s v="UT-100135"/>
        <s v="UT-100136"/>
        <s v="UT-100137"/>
        <s v="UT-100138"/>
        <s v="UT-100139"/>
        <s v="UT-100140"/>
        <s v="UT-100141"/>
        <s v="UT-100142"/>
        <s v="UT-100143"/>
        <s v="UT-100144"/>
        <s v="UT-100145"/>
        <s v="UT-100146"/>
        <s v="UT-100147"/>
        <s v="UT-100148"/>
        <s v="UT-100149"/>
        <s v="UT-100150"/>
        <s v="UT-100151"/>
        <s v="UT-100152"/>
        <s v="UT-100153"/>
        <s v="UT-100154"/>
        <s v="UT-100155"/>
        <s v="UT-100156"/>
        <s v="UT-100157"/>
        <s v="UT-100158"/>
        <s v="UT-100159"/>
        <s v="UT-100160"/>
        <s v="UT-100161"/>
        <s v="UT-100162"/>
        <s v="UT-100163"/>
        <s v="UT-100164"/>
        <s v="UT-100165"/>
        <s v="UT-100166"/>
        <s v="UT-100167"/>
        <s v="UT-100168"/>
        <s v="UT-100169"/>
        <s v="UT-100170"/>
        <s v="UT-100171"/>
        <s v="UT-100172"/>
        <s v="UT-100173"/>
        <s v="UT-100174"/>
        <s v="UT-100175"/>
        <s v="UT-100176"/>
        <s v="UT-100177"/>
        <s v="UT-100178"/>
        <s v="UT-100179"/>
        <s v="UT-100180"/>
        <s v="UT-100181"/>
        <s v="UT-100182"/>
        <s v="UT-100183"/>
        <s v="UT-100184"/>
        <s v="UT-100185"/>
        <s v="UT-100186"/>
        <s v="UT-100187"/>
        <s v="UT-100188"/>
        <s v="UT-100189"/>
        <s v="UT-100190"/>
        <s v="UT-100191"/>
        <s v="UT-100192"/>
        <s v="UT-100193"/>
        <s v="UT-100194"/>
        <s v="UT-100195"/>
        <s v="UT-100196"/>
        <s v="UT-100197"/>
        <s v="UT-100198"/>
        <s v="UT-100199"/>
        <s v="UT-100200"/>
        <s v="UT-100201"/>
        <s v="UT-100202"/>
        <s v="UT-100203"/>
        <s v="UT-100204"/>
        <s v="UT-100205"/>
        <s v="UT-100206"/>
        <s v="UT-100207"/>
        <s v="UT-100208"/>
        <s v="UT-100209"/>
        <s v="UT-100210"/>
        <s v="UT-100211"/>
        <s v="UT-100212"/>
        <s v="UT-100213"/>
        <s v="UT-100214"/>
        <s v="UT-100215"/>
        <s v="UT-100216"/>
        <s v="UT-100217"/>
        <s v="UT-100218"/>
        <s v="UT-100219"/>
        <s v="UT-100220"/>
        <s v="UT-100221"/>
        <s v="UT-100222"/>
        <s v="UT-100223"/>
        <s v="UT-100224"/>
        <s v="UT-100225"/>
        <s v="UT-100226"/>
        <s v="UT-100227"/>
        <s v="UT-100228"/>
        <s v="UT-100229"/>
        <s v="UT-100230"/>
        <s v="UT-100231"/>
        <s v="UT-100232"/>
        <s v="UT-100233"/>
        <s v="UT-100234"/>
        <s v="UT-100235"/>
        <s v="UT-100236"/>
        <s v="UT-100237"/>
        <s v="UT-100238"/>
        <s v="UT-100239"/>
        <s v="UT-100240"/>
        <s v="UT-100241"/>
        <s v="UT-100242"/>
        <s v="UT-100243"/>
        <s v="UT-100244"/>
        <s v="UT-100245"/>
        <s v="UT-100246"/>
        <s v="UT-100247"/>
        <s v="UT-100248"/>
        <s v="UT-100249"/>
        <s v="UT-100250"/>
        <s v="UT-100251"/>
        <s v="UT-100252"/>
        <s v="UT-100253"/>
        <s v="UT-100254"/>
        <s v="UT-100255"/>
        <s v="UT-100256"/>
        <s v="UT-100257"/>
        <s v="UT-100258"/>
        <s v="UT-100259"/>
        <s v="UT-100260"/>
        <s v="UT-100261"/>
        <s v="UT-100262"/>
        <s v="UT-100263"/>
        <s v="UT-100264"/>
        <s v="UT-100265"/>
        <s v="UT-100266"/>
        <s v="UT-100267"/>
        <s v="UT-100268"/>
        <s v="UT-100269"/>
        <s v="UT-100270"/>
        <s v="UT-100271"/>
        <s v="UT-100272"/>
        <s v="UT-100273"/>
        <s v="UT-100274"/>
        <s v="UT-100275"/>
        <s v="UT-100276"/>
        <s v="UT-100277"/>
        <s v="UT-100278"/>
        <s v="UT-100279"/>
        <s v="UT-100280"/>
        <s v="UT-100281"/>
        <s v="UT-100282"/>
        <s v="UT-100283"/>
        <s v="UT-100284"/>
        <s v="UT-100285"/>
        <s v="UT-100286"/>
        <s v="UT-100287"/>
        <s v="UT-100288"/>
        <s v="UT-100289"/>
        <s v="UT-100290"/>
        <s v="UT-100291"/>
        <s v="UT-100292"/>
        <s v="UT-100293"/>
        <s v="UT-100294"/>
        <s v="UT-100295"/>
        <s v="UT-100296"/>
        <s v="UT-100297"/>
        <s v="UT-100298"/>
        <s v="UT-100299"/>
        <s v="UT-100300"/>
        <s v="UT-100301"/>
        <s v="UT-100302"/>
        <s v="UT-100303"/>
        <s v="UT-100304"/>
        <s v="UT-100305"/>
        <s v="UT-100306"/>
        <s v="UT-100307"/>
        <s v="UT-100308"/>
        <s v="UT-100309"/>
        <s v="UT-100310"/>
        <s v="UT-100311"/>
        <s v="UT-100312"/>
        <s v="UT-100313"/>
        <s v="UT-100314"/>
        <s v="UT-100315"/>
        <s v="UT-100316"/>
        <s v="UT-100317"/>
        <s v="UT-100318"/>
        <s v="UT-100319"/>
        <s v="UT-100320"/>
        <s v="UT-100321"/>
        <s v="UT-100322"/>
        <s v="UT-100323"/>
        <s v="UT-100324"/>
        <s v="UT-100325"/>
        <s v="UT-100326"/>
        <s v="UT-100327"/>
        <s v="UT-100328"/>
        <s v="UT-100329"/>
        <s v="UT-100330"/>
        <s v="UT-100331"/>
        <s v="UT-100332"/>
        <s v="UT-100333"/>
        <s v="UT-100334"/>
        <s v="UT-100335"/>
        <s v="UT-100336"/>
        <s v="UT-100337"/>
        <s v="UT-100338"/>
        <s v="UT-100339"/>
        <s v="UT-100342"/>
        <s v="UT-100343"/>
        <s v="UT-100344"/>
        <s v="UT-100345"/>
        <s v="UT-100346"/>
      </sharedItems>
    </cacheField>
    <cacheField name="Order Date" numFmtId="14">
      <sharedItems containsSemiMixedTypes="0" containsNonDate="0" containsDate="1" containsString="0" minDate="2024-10-01T00:00:00" maxDate="2025-01-01T00:00:00" count="92">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31"/>
    </cacheField>
    <cacheField name="Order_Date_Validation_Q4" numFmtId="0">
      <sharedItems/>
    </cacheField>
    <cacheField name="Customer ID" numFmtId="0">
      <sharedItems/>
    </cacheField>
    <cacheField name="Type" numFmtId="0">
      <sharedItems count="2">
        <s v="New"/>
        <s v="Returning"/>
      </sharedItems>
    </cacheField>
    <cacheField name="Product_SKU" numFmtId="0">
      <sharedItems/>
    </cacheField>
    <cacheField name="Category" numFmtId="0">
      <sharedItems count="5">
        <s v="Outerwear"/>
        <s v="Tops"/>
        <s v="Dresses"/>
        <s v="Bottoms"/>
        <s v="Accessories"/>
      </sharedItems>
    </cacheField>
    <cacheField name="Product Name" numFmtId="0">
      <sharedItems/>
    </cacheField>
    <cacheField name="Unit Price" numFmtId="0">
      <sharedItems containsSemiMixedTypes="0" containsString="0" containsNumber="1" containsInteger="1" minValue="299" maxValue="8999"/>
    </cacheField>
    <cacheField name="Qty" numFmtId="0">
      <sharedItems containsSemiMixedTypes="0" containsString="0" containsNumber="1" containsInteger="1" minValue="1" maxValue="5"/>
    </cacheField>
    <cacheField name="Order_Quantity_Validation" numFmtId="0">
      <sharedItems/>
    </cacheField>
    <cacheField name="Total" numFmtId="0">
      <sharedItems containsSemiMixedTypes="0" containsString="0" containsNumber="1" containsInteger="1" minValue="699" maxValue="8999"/>
    </cacheField>
    <cacheField name="Order_Total_After_Discount" numFmtId="0">
      <sharedItems containsSemiMixedTypes="0" containsString="0" containsNumber="1" minValue="479.4" maxValue="7999" count="171">
        <n v="2974.15"/>
        <n v="3198"/>
        <n v="1759.2"/>
        <n v="2299"/>
        <n v="6995"/>
        <n v="2338.1999999999998"/>
        <n v="3299"/>
        <n v="2499"/>
        <n v="2878.4"/>
        <n v="2799"/>
        <n v="2396"/>
        <n v="849.15"/>
        <n v="2899"/>
        <n v="2998"/>
        <n v="3199.2"/>
        <n v="1699"/>
        <n v="2399"/>
        <n v="809.1"/>
        <n v="3597"/>
        <n v="3598"/>
        <n v="2699"/>
        <n v="4139.1000000000004"/>
        <n v="1099"/>
        <n v="1899"/>
        <n v="5499"/>
        <n v="1798"/>
        <n v="5949.15"/>
        <n v="2999"/>
        <n v="1599"/>
        <n v="1599.2"/>
        <n v="1799"/>
        <n v="7999"/>
        <n v="1349.1"/>
        <n v="2558.4"/>
        <n v="1699.15"/>
        <n v="2599"/>
        <n v="1299"/>
        <n v="4799.2"/>
        <n v="1598"/>
        <n v="1998"/>
        <n v="1529.1"/>
        <n v="3799"/>
        <n v="1679.2"/>
        <n v="1499"/>
        <n v="3824.15"/>
        <n v="899"/>
        <n v="1399"/>
        <n v="1258.2"/>
        <n v="2199"/>
        <n v="1519.2"/>
        <n v="1784.15"/>
        <n v="2398"/>
        <n v="2079.1999999999998"/>
        <n v="1495"/>
        <n v="1619.1"/>
        <n v="4999"/>
        <n v="999"/>
        <n v="1199.2"/>
        <n v="2198"/>
        <n v="4674.1499999999996"/>
        <n v="799"/>
        <n v="2159.1999999999998"/>
        <n v="898.2"/>
        <n v="1119.2"/>
        <n v="4299"/>
        <n v="1197"/>
        <n v="1869.15"/>
        <n v="2239.1999999999998"/>
        <n v="699"/>
        <n v="2519.1"/>
        <n v="5999"/>
        <n v="1439.2"/>
        <n v="1999"/>
        <n v="1359.15"/>
        <n v="3999"/>
        <n v="1198"/>
        <n v="2099.4"/>
        <n v="3599.4"/>
        <n v="2758.8"/>
        <n v="959.4"/>
        <n v="1139.4000000000001"/>
        <n v="2579.4"/>
        <n v="1559.4"/>
        <n v="2399.4"/>
        <n v="5399.4"/>
        <n v="1558.8"/>
        <n v="1199.4000000000001"/>
        <n v="3299.4"/>
        <n v="4199.3999999999996"/>
        <n v="2999.4"/>
        <n v="539.4"/>
        <n v="1979.4"/>
        <n v="4499.3999999999996"/>
        <n v="719.4"/>
        <n v="1679.4"/>
        <n v="2339.4"/>
        <n v="1799.4"/>
        <n v="3899.4"/>
        <n v="1198.8"/>
        <n v="1499.4"/>
        <n v="2759.4"/>
        <n v="1079.4000000000001"/>
        <n v="4799.3999999999996"/>
        <n v="1379.4"/>
        <n v="479.4"/>
        <n v="2939.4"/>
        <n v="899.4"/>
        <n v="3419.4"/>
        <n v="1437.6"/>
        <n v="1444.15"/>
        <n v="4599"/>
        <n v="1529.15"/>
        <n v="4504.1499999999996"/>
        <n v="1497"/>
        <n v="2099"/>
        <n v="2039.15"/>
        <n v="4199"/>
        <n v="1398"/>
        <n v="5599"/>
        <n v="678.3"/>
        <n v="2124.15"/>
        <n v="6299"/>
        <n v="2719.15"/>
        <n v="6999"/>
        <n v="1274.1500000000001"/>
        <n v="7499"/>
        <n v="1104.1500000000001"/>
        <n v="5099.1499999999996"/>
        <n v="998"/>
        <n v="4899"/>
        <n v="6799"/>
        <n v="4929.1499999999996"/>
        <n v="1199"/>
        <n v="3699"/>
        <n v="2294.15"/>
        <n v="2209.15"/>
        <n v="6499"/>
        <n v="5299"/>
        <n v="1999.2"/>
        <n v="5199.2"/>
        <n v="2319.1999999999998"/>
        <n v="958.4"/>
        <n v="6399.2"/>
        <n v="798.4"/>
        <n v="1839.2"/>
        <n v="7199.2"/>
        <n v="3039.2"/>
        <n v="3679.2"/>
        <n v="2639.2"/>
        <n v="4399.2"/>
        <n v="3398"/>
        <n v="1438.4"/>
        <n v="3599"/>
        <n v="4479.2"/>
        <n v="3439.2"/>
        <n v="4639.2"/>
        <n v="3119.2"/>
        <n v="5439.2"/>
        <n v="1797"/>
        <n v="3599.2"/>
        <n v="5199"/>
        <n v="1919.2"/>
        <n v="7299"/>
        <n v="4699"/>
        <n v="4319.2"/>
        <n v="1197.5999999999999"/>
        <n v="2799.2"/>
        <n v="639.20000000000005"/>
        <n v="4099"/>
        <n v="5799"/>
        <n v="3919.2"/>
      </sharedItems>
    </cacheField>
    <cacheField name="Discount Code" numFmtId="0">
      <sharedItems containsBlank="1"/>
    </cacheField>
    <cacheField name="Disc %" numFmtId="0">
      <sharedItems containsSemiMixedTypes="0" containsString="0" containsNumber="1" containsInteger="1" minValue="0" maxValue="40"/>
    </cacheField>
    <cacheField name="Discount_Amount" numFmtId="0">
      <sharedItems containsSemiMixedTypes="0" containsString="0" containsNumber="1" minValue="0" maxValue="3599.6"/>
    </cacheField>
    <cacheField name="Payment" numFmtId="0">
      <sharedItems count="5">
        <s v="Debit Card"/>
        <s v="Credit Card"/>
        <s v="COD"/>
        <s v="UPI"/>
        <s v="Wallet"/>
      </sharedItems>
    </cacheField>
    <cacheField name="Source" numFmtId="0">
      <sharedItems count="3">
        <s v="Instagram Shop"/>
        <s v="Mobile App"/>
        <s v="Website"/>
      </sharedItems>
    </cacheField>
    <cacheField name="City" numFmtId="0">
      <sharedItems/>
    </cacheField>
    <cacheField name="State" numFmtId="0">
      <sharedItems/>
    </cacheField>
    <cacheField name="Warehouse" numFmtId="0">
      <sharedItems/>
    </cacheField>
    <cacheField name="Delivery Date" numFmtId="14">
      <sharedItems containsNonDate="0" containsDate="1" containsString="0" containsBlank="1" minDate="2024-10-07T00:00:00" maxDate="2025-01-29T00:00:00"/>
    </cacheField>
    <cacheField name="Delivery_Date_Validation" numFmtId="0">
      <sharedItems/>
    </cacheField>
    <cacheField name="Delivery_Time_Validation" numFmtId="0">
      <sharedItems/>
    </cacheField>
    <cacheField name="Status" numFmtId="0">
      <sharedItems/>
    </cacheField>
    <cacheField name="Return?" numFmtId="0">
      <sharedItems count="2">
        <s v="Yes"/>
        <s v="No"/>
      </sharedItems>
    </cacheField>
    <cacheField name="Reason" numFmtId="0">
      <sharedItems containsBlank="1"/>
    </cacheField>
    <cacheField name="Return Received" numFmtId="14">
      <sharedItems containsNonDate="0" containsDate="1" containsString="0" containsBlank="1" minDate="2024-10-18T00:00:00" maxDate="2025-02-26T00:00:00" count="104">
        <d v="2024-10-20T00:00:00"/>
        <d v="2024-10-18T00:00:00"/>
        <m/>
        <d v="2024-10-22T00:00:00"/>
        <d v="2024-10-28T00:00:00"/>
        <d v="2024-10-26T00:00:00"/>
        <d v="2024-10-30T00:00:00"/>
        <d v="2024-11-02T00:00:00"/>
        <d v="2024-11-05T00:00:00"/>
        <d v="2024-11-08T00:00:00"/>
        <d v="2024-11-10T00:00:00"/>
        <d v="2024-11-12T00:00:00"/>
        <d v="2024-11-15T00:00:00"/>
        <d v="2024-11-14T00:00:00"/>
        <d v="2024-11-18T00:00:00"/>
        <d v="2024-11-16T00:00:00"/>
        <d v="2024-11-20T00:00:00"/>
        <d v="2024-11-22T00:00:00"/>
        <d v="2024-11-24T00:00:00"/>
        <d v="2024-11-25T00:00:00"/>
        <d v="2024-11-26T00:00:00"/>
        <d v="2024-11-28T00:00:00"/>
        <d v="2024-11-30T00:00:00"/>
        <d v="2024-12-01T00:00:00"/>
        <d v="2024-12-03T00:00:00"/>
        <d v="2024-12-02T00:00:00"/>
        <d v="2024-12-05T00:00:00"/>
        <d v="2024-12-06T00:00:00"/>
        <d v="2024-12-04T00:00:00"/>
        <d v="2024-12-07T00:00:00"/>
        <d v="2024-12-08T00:00:00"/>
        <d v="2024-12-10T00:00:00"/>
        <d v="2024-12-12T00:00:00"/>
        <d v="2024-12-14T00:00:00"/>
        <d v="2024-12-13T00:00:00"/>
        <d v="2024-12-15T00:00:00"/>
        <d v="2024-12-16T00:00:00"/>
        <d v="2024-12-17T00:00:00"/>
        <d v="2024-12-18T00:00:00"/>
        <d v="2024-12-20T00:00:00"/>
        <d v="2024-12-19T00:00:00"/>
        <d v="2024-12-22T00:00:00"/>
        <d v="2024-12-24T00:00:00"/>
        <d v="2024-12-23T00:00:00"/>
        <d v="2024-12-25T00:00:00"/>
        <d v="2024-12-26T00:00:00"/>
        <d v="2024-12-28T00:00:00"/>
        <d v="2024-12-29T00:00:00"/>
        <d v="2024-12-27T00:00:00"/>
        <d v="2024-12-30T00:00:00"/>
        <d v="2024-12-31T00:00:00"/>
        <d v="2025-01-02T00:00:00"/>
        <d v="2025-01-03T00:00:00"/>
        <d v="2025-01-04T00:00:00"/>
        <d v="2025-01-05T00:00:00"/>
        <d v="2025-01-06T00:00:00"/>
        <d v="2025-01-08T00:00:00"/>
        <d v="2025-01-07T00:00:00"/>
        <d v="2025-01-10T00:00:00"/>
        <d v="2025-01-09T00:00:00"/>
        <d v="2025-01-12T00:00:00"/>
        <d v="2025-01-11T00:00:00"/>
        <d v="2025-01-14T00:00:00"/>
        <d v="2025-01-15T00:00:00"/>
        <d v="2025-01-16T00:00:00"/>
        <d v="2025-01-18T00:00:00"/>
        <d v="2025-01-20T00:00:00"/>
        <d v="2025-01-19T00:00:00"/>
        <d v="2025-01-22T00:00:00"/>
        <d v="2025-01-23T00:00:00"/>
        <d v="2025-01-21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4T00:00:00"/>
        <d v="2025-02-23T00:00:00"/>
        <d v="2025-02-25T00:00:00"/>
      </sharedItems>
      <fieldGroup par="34"/>
    </cacheField>
    <cacheField name="Return_Date_Validation" numFmtId="0">
      <sharedItems/>
    </cacheField>
    <cacheField name="Return_Window_Validation" numFmtId="0">
      <sharedItems/>
    </cacheField>
    <cacheField name="Refund" numFmtId="0">
      <sharedItems/>
    </cacheField>
    <cacheField name="Days (Order Date)" numFmtId="0" databaseField="0">
      <fieldGroup base="1">
        <rangePr groupBy="days" startDate="2024-10-01T00:00:00" endDate="2025-01-01T00:00:00" groupInterval="7"/>
        <groupItems count="16">
          <s v="&lt;01-10-2024"/>
          <s v="01-10-2024 - 07-10-2024"/>
          <s v="08-10-2024 - 14-10-2024"/>
          <s v="15-10-2024 - 21-10-2024"/>
          <s v="22-10-2024 - 28-10-2024"/>
          <s v="29-10-2024 - 04-11-2024"/>
          <s v="05-11-2024 - 11-11-2024"/>
          <s v="12-11-2024 - 18-11-2024"/>
          <s v="19-11-2024 - 25-11-2024"/>
          <s v="26-11-2024 - 02-12-2024"/>
          <s v="03-12-2024 - 09-12-2024"/>
          <s v="10-12-2024 - 16-12-2024"/>
          <s v="17-12-2024 - 23-12-2024"/>
          <s v="24-12-2024 - 30-12-2024"/>
          <s v="31-12-2024 - 01-01-2025"/>
          <s v="&gt;01-01-2025"/>
        </groupItems>
      </fieldGroup>
    </cacheField>
    <cacheField name="Months (Return Received)" numFmtId="0" databaseField="0">
      <fieldGroup base="27">
        <rangePr groupBy="months" startDate="2024-10-18T00:00:00" endDate="2025-02-26T00:00:00"/>
        <groupItems count="14">
          <s v="&lt;18-10-2024"/>
          <s v="Jan"/>
          <s v="Feb"/>
          <s v="Mar"/>
          <s v="Apr"/>
          <s v="May"/>
          <s v="Jun"/>
          <s v="Jul"/>
          <s v="Aug"/>
          <s v="Sep"/>
          <s v="Oct"/>
          <s v="Nov"/>
          <s v="Dec"/>
          <s v="&gt;26-02-2025"/>
        </groupItems>
      </fieldGroup>
    </cacheField>
    <cacheField name="Quarters (Return Received)" numFmtId="0" databaseField="0">
      <fieldGroup base="27">
        <rangePr groupBy="quarters" startDate="2024-10-18T00:00:00" endDate="2025-02-26T00:00:00"/>
        <groupItems count="6">
          <s v="&lt;18-10-2024"/>
          <s v="Qtr1"/>
          <s v="Qtr2"/>
          <s v="Qtr3"/>
          <s v="Qtr4"/>
          <s v="&gt;26-02-2025"/>
        </groupItems>
      </fieldGroup>
    </cacheField>
    <cacheField name="Years (Return Received)" numFmtId="0" databaseField="0">
      <fieldGroup base="27">
        <rangePr groupBy="years" startDate="2024-10-18T00:00:00" endDate="2025-02-26T00:00:00"/>
        <groupItems count="4">
          <s v="&lt;18-10-2024"/>
          <s v="2024"/>
          <s v="2025"/>
          <s v="&gt;26-0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x v="0"/>
    <s v="Valid Q4"/>
    <s v="CUST_10004"/>
    <x v="0"/>
    <s v="OUT-JKT-XL"/>
    <x v="0"/>
    <s v="Denim Jacket"/>
    <n v="3499"/>
    <n v="1"/>
    <s v="Valid Quantity"/>
    <n v="3499"/>
    <x v="0"/>
    <s v="FIRST15"/>
    <n v="15"/>
    <n v="524.85"/>
    <x v="0"/>
    <x v="0"/>
    <s v="Chennai"/>
    <s v="Tamil Nadu"/>
    <s v="Mumbai"/>
    <d v="2024-10-08T00:00:00"/>
    <s v="Valid Date"/>
    <s v="On time delivery"/>
    <s v="Delivered"/>
    <x v="0"/>
    <s v="Quality Defect"/>
    <x v="0"/>
    <s v="Returned"/>
    <s v="Valid"/>
    <s v="Processed"/>
  </r>
  <r>
    <x v="1"/>
    <x v="1"/>
    <s v="Valid Q4"/>
    <s v="CUST_10005"/>
    <x v="1"/>
    <s v="TOP-FRM-S"/>
    <x v="1"/>
    <s v="Printed Blouse"/>
    <n v="1599"/>
    <n v="2"/>
    <s v="Valid Quantity"/>
    <n v="3198"/>
    <x v="1"/>
    <m/>
    <n v="0"/>
    <n v="0"/>
    <x v="1"/>
    <x v="1"/>
    <s v="Hyderabad"/>
    <s v="Telangana"/>
    <s v="Bangalore"/>
    <d v="2024-10-07T00:00:00"/>
    <s v="Valid Date"/>
    <s v="On time delivery"/>
    <s v="Delivered"/>
    <x v="0"/>
    <s v="Changed Mind"/>
    <x v="1"/>
    <s v="Returned"/>
    <s v="Valid"/>
    <s v="Processed"/>
  </r>
  <r>
    <x v="2"/>
    <x v="1"/>
    <s v="Valid Q4"/>
    <s v="CUST_10006"/>
    <x v="0"/>
    <s v="DRS-CAS-M"/>
    <x v="2"/>
    <s v="A-Line Dress"/>
    <n v="2199"/>
    <n v="1"/>
    <s v="Valid Quantity"/>
    <n v="2199"/>
    <x v="2"/>
    <s v="DIWALI20"/>
    <n v="20"/>
    <n v="439.8"/>
    <x v="2"/>
    <x v="2"/>
    <s v="Pune"/>
    <s v="Maharashtra"/>
    <s v="Mumbai"/>
    <m/>
    <s v="Not Delivered"/>
    <s v="Not delivered"/>
    <s v="Cancelled"/>
    <x v="1"/>
    <m/>
    <x v="2"/>
    <s v="Not Delivered"/>
    <s v="Not returned"/>
    <s v="Not Applicable"/>
  </r>
  <r>
    <x v="3"/>
    <x v="1"/>
    <s v="Valid Q4"/>
    <s v="CUST_10007"/>
    <x v="0"/>
    <s v="BOT-TRS-L"/>
    <x v="3"/>
    <s v="Formal Trousers"/>
    <n v="2299"/>
    <n v="1"/>
    <s v="Valid Quantity"/>
    <n v="2299"/>
    <x v="3"/>
    <m/>
    <n v="0"/>
    <n v="0"/>
    <x v="3"/>
    <x v="1"/>
    <s v="Kolkata"/>
    <s v="West Bengal"/>
    <s v="Delhi"/>
    <d v="2024-10-10T00:00:00"/>
    <s v="Valid Date"/>
    <s v="On time delivery"/>
    <s v="Delivered"/>
    <x v="1"/>
    <m/>
    <x v="2"/>
    <s v="Not Returned"/>
    <s v="Not returned"/>
    <s v="Not Applicable"/>
  </r>
  <r>
    <x v="4"/>
    <x v="1"/>
    <s v="Valid Q4"/>
    <s v="CUST_10008"/>
    <x v="1"/>
    <s v="TOP-CAS-XL"/>
    <x v="1"/>
    <s v="Oversized Tee"/>
    <n v="1399"/>
    <n v="5"/>
    <s v="Valid Quantity"/>
    <n v="6995"/>
    <x v="4"/>
    <m/>
    <n v="0"/>
    <n v="0"/>
    <x v="1"/>
    <x v="2"/>
    <s v="Ahmedabad"/>
    <s v="Gujarat"/>
    <s v="Mumbai"/>
    <d v="2024-10-09T00:00:00"/>
    <s v="Valid Date"/>
    <s v="On time delivery"/>
    <s v="Delivered"/>
    <x v="0"/>
    <s v="Size Issue"/>
    <x v="3"/>
    <s v="Returned"/>
    <s v="Valid"/>
    <s v="Processed"/>
  </r>
  <r>
    <x v="5"/>
    <x v="2"/>
    <s v="Valid Q4"/>
    <s v="CUST_10010"/>
    <x v="0"/>
    <s v="ACC-BAG-OS"/>
    <x v="4"/>
    <s v="Tote Bag"/>
    <n v="1299"/>
    <n v="2"/>
    <s v="Valid Quantity"/>
    <n v="2598"/>
    <x v="5"/>
    <s v="FLAT10"/>
    <n v="10"/>
    <n v="259.8"/>
    <x v="4"/>
    <x v="2"/>
    <s v="Lucknow"/>
    <s v="Uttar Pradesh"/>
    <s v="Delhi"/>
    <d v="2024-10-10T00:00:00"/>
    <s v="Valid Date"/>
    <s v="On time delivery"/>
    <s v="Delivered"/>
    <x v="1"/>
    <m/>
    <x v="2"/>
    <s v="Not Returned"/>
    <s v="Not returned"/>
    <s v="Not Applicable"/>
  </r>
  <r>
    <x v="6"/>
    <x v="2"/>
    <s v="Valid Q4"/>
    <s v="CUST_10011"/>
    <x v="0"/>
    <s v="DRS-PRT-S"/>
    <x v="2"/>
    <s v="Party Dress"/>
    <n v="3299"/>
    <n v="1"/>
    <s v="Valid Quantity"/>
    <n v="3299"/>
    <x v="6"/>
    <m/>
    <n v="0"/>
    <n v="0"/>
    <x v="2"/>
    <x v="1"/>
    <s v="Chandigarh"/>
    <s v="Punjab"/>
    <s v="Delhi"/>
    <m/>
    <s v="Not Delivered"/>
    <s v="Not delivered"/>
    <s v="RTO"/>
    <x v="1"/>
    <m/>
    <x v="2"/>
    <s v="Not Delivered"/>
    <s v="Not returned"/>
    <s v="Not Applicable"/>
  </r>
  <r>
    <x v="7"/>
    <x v="2"/>
    <s v="Valid Q4"/>
    <s v="CUST_10012"/>
    <x v="1"/>
    <s v="TOP-SLK-M"/>
    <x v="1"/>
    <s v="Silk Blouse"/>
    <n v="2499"/>
    <n v="1"/>
    <s v="Valid Quantity"/>
    <n v="2499"/>
    <x v="7"/>
    <m/>
    <n v="0"/>
    <n v="0"/>
    <x v="1"/>
    <x v="2"/>
    <s v="Mumbai"/>
    <s v="Maharashtra"/>
    <s v="Mumbai"/>
    <d v="2024-10-09T00:00:00"/>
    <s v="Valid Date"/>
    <s v="On time delivery"/>
    <s v="Delivered"/>
    <x v="1"/>
    <m/>
    <x v="2"/>
    <s v="Not Returned"/>
    <s v="Not returned"/>
    <s v="Not Applicable"/>
  </r>
  <r>
    <x v="8"/>
    <x v="2"/>
    <s v="Valid Q4"/>
    <s v="CUST_10013"/>
    <x v="0"/>
    <s v="BOT-SKT-S"/>
    <x v="3"/>
    <s v="Pleated Skirt"/>
    <n v="1799"/>
    <n v="2"/>
    <s v="Valid Quantity"/>
    <n v="3598"/>
    <x v="8"/>
    <s v="DIWALI20"/>
    <n v="20"/>
    <n v="719.6"/>
    <x v="3"/>
    <x v="0"/>
    <s v="Delhi"/>
    <s v="Delhi"/>
    <s v="Delhi"/>
    <d v="2024-10-11T00:00:00"/>
    <s v="Valid Date"/>
    <s v="On time delivery"/>
    <s v="Delivered"/>
    <x v="0"/>
    <s v="Size Issue"/>
    <x v="4"/>
    <s v="Returned"/>
    <s v="Valid"/>
    <s v="Processed"/>
  </r>
  <r>
    <x v="9"/>
    <x v="2"/>
    <s v="Valid Q4"/>
    <s v="CUST_10014"/>
    <x v="0"/>
    <s v="OUT-CRD-L"/>
    <x v="0"/>
    <s v="Knit Cardigan"/>
    <n v="2799"/>
    <n v="1"/>
    <s v="Valid Quantity"/>
    <n v="2799"/>
    <x v="9"/>
    <m/>
    <n v="0"/>
    <n v="0"/>
    <x v="0"/>
    <x v="1"/>
    <s v="Bangalore"/>
    <s v="Karnataka"/>
    <s v="Bangalore"/>
    <d v="2024-10-12T00:00:00"/>
    <s v="Valid Date"/>
    <s v="On time delivery"/>
    <s v="Delivered"/>
    <x v="1"/>
    <m/>
    <x v="2"/>
    <s v="Not Returned"/>
    <s v="Not returned"/>
    <s v="Not Applicable"/>
  </r>
  <r>
    <x v="10"/>
    <x v="3"/>
    <s v="Valid Q4"/>
    <s v="CUST_10015"/>
    <x v="1"/>
    <s v="ACC-JWL-OS"/>
    <x v="4"/>
    <s v="Statement Earrings"/>
    <n v="599"/>
    <n v="4"/>
    <s v="Valid Quantity"/>
    <n v="2396"/>
    <x v="10"/>
    <m/>
    <n v="0"/>
    <n v="0"/>
    <x v="2"/>
    <x v="2"/>
    <s v="Noida"/>
    <s v="Uttar Pradesh"/>
    <s v="Delhi"/>
    <d v="2024-10-14T00:00:00"/>
    <s v="Valid Date"/>
    <s v="On time delivery"/>
    <s v="Delivered"/>
    <x v="0"/>
    <s v="Damaged in Transit"/>
    <x v="5"/>
    <s v="Returned"/>
    <s v="Valid"/>
    <s v="Processed"/>
  </r>
  <r>
    <x v="11"/>
    <x v="3"/>
    <s v="Valid Q4"/>
    <s v="CUST_10016"/>
    <x v="0"/>
    <s v="TOP-CRP-XS"/>
    <x v="1"/>
    <s v="Crop Top"/>
    <n v="999"/>
    <n v="1"/>
    <s v="Valid Quantity"/>
    <n v="999"/>
    <x v="11"/>
    <s v="FIRST15"/>
    <n v="15"/>
    <n v="149.85"/>
    <x v="3"/>
    <x v="1"/>
    <s v="Gurgaon"/>
    <s v="Haryana"/>
    <s v="Delhi"/>
    <d v="2024-10-12T00:00:00"/>
    <s v="Valid Date"/>
    <s v="On time delivery"/>
    <s v="Delivered"/>
    <x v="1"/>
    <m/>
    <x v="2"/>
    <s v="Not Returned"/>
    <s v="Not returned"/>
    <s v="Not Applicable"/>
  </r>
  <r>
    <x v="12"/>
    <x v="3"/>
    <s v="Valid Q4"/>
    <s v="CUST_10017"/>
    <x v="0"/>
    <s v="DRS-MAX-M"/>
    <x v="2"/>
    <s v="Maxi Dress"/>
    <n v="2899"/>
    <n v="1"/>
    <s v="Valid Quantity"/>
    <n v="2899"/>
    <x v="12"/>
    <m/>
    <n v="0"/>
    <n v="0"/>
    <x v="1"/>
    <x v="2"/>
    <s v="Indore"/>
    <s v="Madhya Pradesh"/>
    <s v="Mumbai"/>
    <d v="2024-10-14T00:00:00"/>
    <s v="Valid Date"/>
    <s v="On time delivery"/>
    <s v="Delivered"/>
    <x v="1"/>
    <m/>
    <x v="2"/>
    <s v="Not Returned"/>
    <s v="Not returned"/>
    <s v="Not Applicable"/>
  </r>
  <r>
    <x v="13"/>
    <x v="3"/>
    <s v="Valid Q4"/>
    <s v="CUST_10018"/>
    <x v="1"/>
    <s v="BOT-JGR-M"/>
    <x v="3"/>
    <s v="Joggers"/>
    <n v="1499"/>
    <n v="2"/>
    <s v="Valid Quantity"/>
    <n v="2998"/>
    <x v="13"/>
    <m/>
    <n v="0"/>
    <n v="0"/>
    <x v="4"/>
    <x v="0"/>
    <s v="Surat"/>
    <s v="Gujarat"/>
    <s v="Mumbai"/>
    <d v="2024-10-13T00:00:00"/>
    <s v="Valid Date"/>
    <s v="On time delivery"/>
    <s v="Delivered"/>
    <x v="0"/>
    <s v="Size Issue"/>
    <x v="6"/>
    <s v="Returned"/>
    <s v="Valid"/>
    <s v="Processed"/>
  </r>
  <r>
    <x v="14"/>
    <x v="4"/>
    <s v="Valid Q4"/>
    <s v="CUST_10019"/>
    <x v="0"/>
    <s v="OUT-VST-S"/>
    <x v="0"/>
    <s v="Puffer Vest"/>
    <n v="3999"/>
    <n v="1"/>
    <s v="Valid Quantity"/>
    <n v="3999"/>
    <x v="14"/>
    <s v="DIWALI20"/>
    <n v="20"/>
    <n v="799.8"/>
    <x v="2"/>
    <x v="2"/>
    <s v="Patna"/>
    <s v="Bihar"/>
    <s v="Delhi"/>
    <m/>
    <s v="Not Delivered"/>
    <s v="Not delivered"/>
    <s v="RTO"/>
    <x v="1"/>
    <m/>
    <x v="2"/>
    <s v="Not Delivered"/>
    <s v="Not returned"/>
    <s v="Not Applicable"/>
  </r>
  <r>
    <x v="15"/>
    <x v="4"/>
    <s v="Valid Q4"/>
    <s v="CUST_10020"/>
    <x v="0"/>
    <s v="TOP-TUN-L"/>
    <x v="1"/>
    <s v="Tunic Top"/>
    <n v="1699"/>
    <n v="1"/>
    <s v="Valid Quantity"/>
    <n v="1699"/>
    <x v="15"/>
    <m/>
    <n v="0"/>
    <n v="0"/>
    <x v="3"/>
    <x v="1"/>
    <s v="Bhopal"/>
    <s v="Madhya Pradesh"/>
    <s v="Mumbai"/>
    <d v="2024-10-15T00:00:00"/>
    <s v="Valid Date"/>
    <s v="On time delivery"/>
    <s v="Delivered"/>
    <x v="1"/>
    <m/>
    <x v="2"/>
    <s v="Not Returned"/>
    <s v="Not returned"/>
    <s v="Not Applicable"/>
  </r>
  <r>
    <x v="16"/>
    <x v="4"/>
    <s v="Valid Q4"/>
    <s v="CUST_10021"/>
    <x v="1"/>
    <s v="DRS-SHT-XS"/>
    <x v="2"/>
    <s v="Shirt Dress"/>
    <n v="2399"/>
    <n v="1"/>
    <s v="Valid Quantity"/>
    <n v="2399"/>
    <x v="16"/>
    <m/>
    <n v="0"/>
    <n v="0"/>
    <x v="1"/>
    <x v="2"/>
    <s v="Nagpur"/>
    <s v="Maharashtra"/>
    <s v="Mumbai"/>
    <d v="2024-10-16T00:00:00"/>
    <s v="Valid Date"/>
    <s v="On time delivery"/>
    <s v="Delivered"/>
    <x v="0"/>
    <s v="Quality Defect"/>
    <x v="7"/>
    <s v="Returned"/>
    <s v="Valid"/>
    <s v="Processed"/>
  </r>
  <r>
    <x v="17"/>
    <x v="4"/>
    <s v="Valid Q4"/>
    <s v="CUST_10022"/>
    <x v="0"/>
    <s v="ACC-BLT-M"/>
    <x v="4"/>
    <s v="Leather Belt"/>
    <n v="899"/>
    <n v="1"/>
    <s v="Valid Quantity"/>
    <n v="899"/>
    <x v="17"/>
    <s v="FLAT10"/>
    <n v="10"/>
    <n v="89.9"/>
    <x v="0"/>
    <x v="1"/>
    <s v="Coimbatore"/>
    <s v="Tamil Nadu"/>
    <s v="Bangalore"/>
    <d v="2024-10-17T00:00:00"/>
    <s v="Valid Date"/>
    <s v="On time delivery"/>
    <s v="Delivered"/>
    <x v="1"/>
    <m/>
    <x v="2"/>
    <s v="Not Returned"/>
    <s v="Not returned"/>
    <s v="Not Applicable"/>
  </r>
  <r>
    <x v="18"/>
    <x v="5"/>
    <s v="Valid Q4"/>
    <s v="CUST_10023"/>
    <x v="0"/>
    <s v="BOT-SHT-M"/>
    <x v="3"/>
    <s v="Cotton Shorts"/>
    <n v="1199"/>
    <n v="3"/>
    <s v="Valid Quantity"/>
    <n v="3597"/>
    <x v="18"/>
    <m/>
    <n v="0"/>
    <n v="0"/>
    <x v="2"/>
    <x v="0"/>
    <s v="Kochi"/>
    <s v="Kerala"/>
    <s v="Bangalore"/>
    <d v="2024-10-18T00:00:00"/>
    <s v="Valid Date"/>
    <s v="On time delivery"/>
    <s v="Delivered"/>
    <x v="0"/>
    <s v="Changed Mind"/>
    <x v="8"/>
    <s v="Returned"/>
    <s v="Valid"/>
    <s v="Processed"/>
  </r>
  <r>
    <x v="19"/>
    <x v="5"/>
    <s v="Valid Q4"/>
    <s v="CUST_10024"/>
    <x v="0"/>
    <s v="TOP-PLO-L"/>
    <x v="1"/>
    <s v="Polo Shirt"/>
    <n v="1799"/>
    <n v="2"/>
    <s v="Valid Quantity"/>
    <n v="3598"/>
    <x v="19"/>
    <m/>
    <n v="0"/>
    <n v="0"/>
    <x v="3"/>
    <x v="2"/>
    <s v="Vizag"/>
    <s v="Andhra Pradesh"/>
    <s v="Bangalore"/>
    <d v="2024-10-17T00:00:00"/>
    <s v="Valid Date"/>
    <s v="On time delivery"/>
    <s v="Delivered"/>
    <x v="1"/>
    <m/>
    <x v="2"/>
    <s v="Not Returned"/>
    <s v="Not returned"/>
    <s v="Not Applicable"/>
  </r>
  <r>
    <x v="20"/>
    <x v="5"/>
    <s v="Valid Q4"/>
    <s v="CUST_10025"/>
    <x v="0"/>
    <s v="DRS-WRK-M"/>
    <x v="2"/>
    <s v="Work Dress"/>
    <n v="2699"/>
    <n v="1"/>
    <s v="Valid Quantity"/>
    <n v="2699"/>
    <x v="20"/>
    <m/>
    <n v="0"/>
    <n v="0"/>
    <x v="1"/>
    <x v="1"/>
    <s v="Thiruvananthapuram"/>
    <s v="Kerala"/>
    <s v="Bangalore"/>
    <d v="2024-10-18T00:00:00"/>
    <s v="Valid Date"/>
    <s v="On time delivery"/>
    <s v="Delivered"/>
    <x v="1"/>
    <m/>
    <x v="2"/>
    <s v="Not Returned"/>
    <s v="Not returned"/>
    <s v="Not Applicable"/>
  </r>
  <r>
    <x v="21"/>
    <x v="5"/>
    <s v="Valid Q4"/>
    <s v="CUST_10026"/>
    <x v="1"/>
    <s v="OUT-TRN-L"/>
    <x v="0"/>
    <s v="Trench Coat"/>
    <n v="4599"/>
    <n v="1"/>
    <s v="Valid Quantity"/>
    <n v="4599"/>
    <x v="21"/>
    <s v="FLAT10"/>
    <n v="10"/>
    <n v="459.9"/>
    <x v="0"/>
    <x v="2"/>
    <s v="Mysore"/>
    <s v="Karnataka"/>
    <s v="Bangalore"/>
    <d v="2024-10-19T00:00:00"/>
    <s v="Valid Date"/>
    <s v="On time delivery"/>
    <s v="Delivered"/>
    <x v="0"/>
    <s v="Size Issue"/>
    <x v="9"/>
    <s v="Returned"/>
    <s v="Valid"/>
    <s v="Processed"/>
  </r>
  <r>
    <x v="22"/>
    <x v="6"/>
    <s v="Valid Q4"/>
    <s v="CUST_10027"/>
    <x v="0"/>
    <s v="ACC-HAT-OS"/>
    <x v="4"/>
    <s v="Fedora Hat"/>
    <n v="1099"/>
    <n v="1"/>
    <s v="Valid Quantity"/>
    <n v="1099"/>
    <x v="22"/>
    <m/>
    <n v="0"/>
    <n v="0"/>
    <x v="3"/>
    <x v="0"/>
    <s v="Vadodara"/>
    <s v="Gujarat"/>
    <s v="Mumbai"/>
    <d v="2024-10-20T00:00:00"/>
    <s v="Valid Date"/>
    <s v="On time delivery"/>
    <s v="Delivered"/>
    <x v="1"/>
    <m/>
    <x v="2"/>
    <s v="Not Returned"/>
    <s v="Not returned"/>
    <s v="Not Applicable"/>
  </r>
  <r>
    <x v="23"/>
    <x v="6"/>
    <s v="Valid Q4"/>
    <s v="CUST_10028"/>
    <x v="0"/>
    <s v="TOP-DNM-M"/>
    <x v="1"/>
    <s v="Denim Shirt"/>
    <n v="1899"/>
    <n v="1"/>
    <s v="Valid Quantity"/>
    <n v="1899"/>
    <x v="23"/>
    <m/>
    <n v="0"/>
    <n v="0"/>
    <x v="2"/>
    <x v="1"/>
    <s v="Rajkot"/>
    <s v="Gujarat"/>
    <s v="Mumbai"/>
    <m/>
    <s v="Not Delivered"/>
    <s v="Not delivered"/>
    <s v="RTO"/>
    <x v="1"/>
    <m/>
    <x v="2"/>
    <s v="Not Delivered"/>
    <s v="Not returned"/>
    <s v="Not Applicable"/>
  </r>
  <r>
    <x v="24"/>
    <x v="6"/>
    <s v="Valid Q4"/>
    <s v="CUST_10029"/>
    <x v="0"/>
    <s v="BOT-CRG-L"/>
    <x v="3"/>
    <s v="Cargo Pants"/>
    <n v="2199"/>
    <n v="1"/>
    <s v="Valid Quantity"/>
    <n v="2199"/>
    <x v="2"/>
    <s v="DIWALI20"/>
    <n v="20"/>
    <n v="439.8"/>
    <x v="1"/>
    <x v="2"/>
    <s v="Kanpur"/>
    <s v="Uttar Pradesh"/>
    <s v="Delhi"/>
    <d v="2024-10-20T00:00:00"/>
    <s v="Valid Date"/>
    <s v="On time delivery"/>
    <s v="Delivered"/>
    <x v="1"/>
    <m/>
    <x v="2"/>
    <s v="Not Returned"/>
    <s v="Not returned"/>
    <s v="Not Applicable"/>
  </r>
  <r>
    <x v="25"/>
    <x v="6"/>
    <s v="Valid Q4"/>
    <s v="CUST_10030"/>
    <x v="1"/>
    <s v="DRS-EVE-S"/>
    <x v="2"/>
    <s v="Evening Gown"/>
    <n v="5499"/>
    <n v="1"/>
    <s v="Valid Quantity"/>
    <n v="5499"/>
    <x v="24"/>
    <m/>
    <n v="0"/>
    <n v="0"/>
    <x v="1"/>
    <x v="1"/>
    <s v="Mumbai"/>
    <s v="Maharashtra"/>
    <s v="Mumbai"/>
    <d v="2024-10-21T00:00:00"/>
    <s v="Valid Date"/>
    <s v="On time delivery"/>
    <s v="Delivered"/>
    <x v="0"/>
    <s v="Size Issue"/>
    <x v="10"/>
    <s v="Returned"/>
    <s v="Valid"/>
    <s v="Processed"/>
  </r>
  <r>
    <x v="26"/>
    <x v="7"/>
    <s v="Valid Q4"/>
    <s v="CUST_10031"/>
    <x v="0"/>
    <s v="TOP-BAS-M"/>
    <x v="1"/>
    <s v="Basic Tank"/>
    <n v="899"/>
    <n v="2"/>
    <s v="Valid Quantity"/>
    <n v="1798"/>
    <x v="25"/>
    <m/>
    <n v="0"/>
    <n v="0"/>
    <x v="3"/>
    <x v="2"/>
    <s v="Delhi"/>
    <s v="Delhi"/>
    <s v="Delhi"/>
    <d v="2024-10-14T00:00:00"/>
    <s v="Valid Date"/>
    <s v="On time delivery"/>
    <s v="Delivered"/>
    <x v="1"/>
    <m/>
    <x v="2"/>
    <s v="Not Returned"/>
    <s v="Not returned"/>
    <s v="Not Applicable"/>
  </r>
  <r>
    <x v="27"/>
    <x v="7"/>
    <s v="Valid Q4"/>
    <s v="CUST_10032"/>
    <x v="0"/>
    <s v="OUT-WOL-L"/>
    <x v="0"/>
    <s v="Wool Coat"/>
    <n v="6999"/>
    <n v="1"/>
    <s v="Valid Quantity"/>
    <n v="6999"/>
    <x v="26"/>
    <s v="FIRST15"/>
    <n v="15"/>
    <n v="1049.8499999999999"/>
    <x v="0"/>
    <x v="0"/>
    <s v="Kolkata"/>
    <s v="West Bengal"/>
    <s v="Delhi"/>
    <d v="2024-10-16T00:00:00"/>
    <s v="Valid Date"/>
    <s v="On time delivery"/>
    <s v="Delivered"/>
    <x v="0"/>
    <s v="Quality Defect"/>
    <x v="8"/>
    <s v="Returned"/>
    <s v="Valid"/>
    <s v="Processed"/>
  </r>
  <r>
    <x v="28"/>
    <x v="7"/>
    <s v="Valid Q4"/>
    <s v="CUST_10033"/>
    <x v="1"/>
    <s v="ACC-WCH-OS"/>
    <x v="4"/>
    <s v="Fashion Watch"/>
    <n v="2999"/>
    <n v="1"/>
    <s v="Valid Quantity"/>
    <n v="2999"/>
    <x v="27"/>
    <m/>
    <n v="0"/>
    <n v="0"/>
    <x v="1"/>
    <x v="1"/>
    <s v="Chennai"/>
    <s v="Tamil Nadu"/>
    <s v="Bangalore"/>
    <d v="2024-10-15T00:00:00"/>
    <s v="Valid Date"/>
    <s v="On time delivery"/>
    <s v="Delivered"/>
    <x v="1"/>
    <m/>
    <x v="2"/>
    <s v="Not Returned"/>
    <s v="Not returned"/>
    <s v="Not Applicable"/>
  </r>
  <r>
    <x v="29"/>
    <x v="7"/>
    <s v="Valid Q4"/>
    <s v="CUST_10034"/>
    <x v="0"/>
    <s v="BOT-DNM-S"/>
    <x v="3"/>
    <s v="Denim Shorts"/>
    <n v="1599"/>
    <n v="1"/>
    <s v="Valid Quantity"/>
    <n v="1599"/>
    <x v="28"/>
    <m/>
    <n v="0"/>
    <n v="0"/>
    <x v="2"/>
    <x v="2"/>
    <s v="Hyderabad"/>
    <s v="Telangana"/>
    <s v="Bangalore"/>
    <d v="2024-10-17T00:00:00"/>
    <s v="Valid Date"/>
    <s v="On time delivery"/>
    <s v="Delivered"/>
    <x v="0"/>
    <s v="Size Issue"/>
    <x v="9"/>
    <s v="Returned"/>
    <s v="Valid"/>
    <s v="Processed"/>
  </r>
  <r>
    <x v="30"/>
    <x v="8"/>
    <s v="Valid Q4"/>
    <s v="CUST_10035"/>
    <x v="0"/>
    <s v="DRS-SUN-M"/>
    <x v="2"/>
    <s v="Sundress"/>
    <n v="1999"/>
    <n v="1"/>
    <s v="Valid Quantity"/>
    <n v="1999"/>
    <x v="29"/>
    <s v="DIWALI20"/>
    <n v="20"/>
    <n v="399.8"/>
    <x v="4"/>
    <x v="1"/>
    <s v="Pune"/>
    <s v="Maharashtra"/>
    <s v="Mumbai"/>
    <d v="2024-10-16T00:00:00"/>
    <s v="Valid Date"/>
    <s v="On time delivery"/>
    <s v="Delivered"/>
    <x v="1"/>
    <m/>
    <x v="2"/>
    <s v="Not Returned"/>
    <s v="Not returned"/>
    <s v="Not Applicable"/>
  </r>
  <r>
    <x v="31"/>
    <x v="8"/>
    <s v="Valid Q4"/>
    <s v="CUST_10036"/>
    <x v="0"/>
    <s v="TOP-RFL-S"/>
    <x v="1"/>
    <s v="Ruffle Top"/>
    <n v="1799"/>
    <n v="1"/>
    <s v="Valid Quantity"/>
    <n v="1799"/>
    <x v="30"/>
    <m/>
    <n v="0"/>
    <n v="0"/>
    <x v="3"/>
    <x v="0"/>
    <s v="Ahmedabad"/>
    <s v="Gujarat"/>
    <s v="Mumbai"/>
    <d v="2024-10-17T00:00:00"/>
    <s v="Valid Date"/>
    <s v="On time delivery"/>
    <s v="Delivered"/>
    <x v="0"/>
    <s v="Changed Mind"/>
    <x v="11"/>
    <s v="Returned"/>
    <s v="Valid"/>
    <s v="Processed"/>
  </r>
  <r>
    <x v="32"/>
    <x v="8"/>
    <s v="Valid Q4"/>
    <s v="CUST_10037"/>
    <x v="1"/>
    <s v="OUT-LTH-M"/>
    <x v="0"/>
    <s v="Leather Jacket"/>
    <n v="7999"/>
    <n v="1"/>
    <s v="Valid Quantity"/>
    <n v="7999"/>
    <x v="31"/>
    <m/>
    <n v="0"/>
    <n v="0"/>
    <x v="1"/>
    <x v="2"/>
    <s v="Jaipur"/>
    <s v="Rajasthan"/>
    <s v="Delhi"/>
    <d v="2024-10-18T00:00:00"/>
    <s v="Valid Date"/>
    <s v="On time delivery"/>
    <s v="Delivered"/>
    <x v="1"/>
    <m/>
    <x v="2"/>
    <s v="Not Returned"/>
    <s v="Not returned"/>
    <s v="Not Applicable"/>
  </r>
  <r>
    <x v="33"/>
    <x v="8"/>
    <s v="Valid Q4"/>
    <s v="CUST_10038"/>
    <x v="0"/>
    <s v="ACC-SNG-OS"/>
    <x v="4"/>
    <s v="Sunglasses"/>
    <n v="1499"/>
    <n v="1"/>
    <s v="Valid Quantity"/>
    <n v="1499"/>
    <x v="32"/>
    <s v="FLAT10"/>
    <n v="10"/>
    <n v="149.9"/>
    <x v="0"/>
    <x v="1"/>
    <s v="Lucknow"/>
    <s v="Uttar Pradesh"/>
    <s v="Delhi"/>
    <d v="2024-10-17T00:00:00"/>
    <s v="Valid Date"/>
    <s v="On time delivery"/>
    <s v="Delivered"/>
    <x v="1"/>
    <m/>
    <x v="2"/>
    <s v="Not Returned"/>
    <s v="Not returned"/>
    <s v="Not Applicable"/>
  </r>
  <r>
    <x v="34"/>
    <x v="9"/>
    <s v="Valid Q4"/>
    <s v="CUST_10039"/>
    <x v="0"/>
    <s v="BOT-PLZ-L"/>
    <x v="3"/>
    <s v="Palazzo Pants"/>
    <n v="1699"/>
    <n v="1"/>
    <s v="Valid Quantity"/>
    <n v="1699"/>
    <x v="15"/>
    <m/>
    <n v="0"/>
    <n v="0"/>
    <x v="2"/>
    <x v="2"/>
    <s v="Bangalore"/>
    <s v="Karnataka"/>
    <s v="Bangalore"/>
    <d v="2024-10-19T00:00:00"/>
    <s v="Valid Date"/>
    <s v="On time delivery"/>
    <s v="Delivered"/>
    <x v="0"/>
    <s v="Size Issue"/>
    <x v="10"/>
    <s v="Returned"/>
    <s v="Valid"/>
    <s v="Processed"/>
  </r>
  <r>
    <x v="35"/>
    <x v="9"/>
    <s v="Valid Q4"/>
    <s v="CUST_10040"/>
    <x v="0"/>
    <s v="DRS-BDC-S"/>
    <x v="2"/>
    <s v="Bodycon Dress"/>
    <n v="2299"/>
    <n v="1"/>
    <s v="Valid Quantity"/>
    <n v="2299"/>
    <x v="3"/>
    <m/>
    <n v="0"/>
    <n v="0"/>
    <x v="3"/>
    <x v="0"/>
    <s v="Mumbai"/>
    <s v="Maharashtra"/>
    <s v="Mumbai"/>
    <d v="2024-10-18T00:00:00"/>
    <s v="Valid Date"/>
    <s v="On time delivery"/>
    <s v="Delivered"/>
    <x v="1"/>
    <m/>
    <x v="2"/>
    <s v="Not Returned"/>
    <s v="Not returned"/>
    <s v="Not Applicable"/>
  </r>
  <r>
    <x v="36"/>
    <x v="9"/>
    <s v="Valid Q4"/>
    <s v="CUST_10041"/>
    <x v="1"/>
    <s v="TOP-OFF-M"/>
    <x v="1"/>
    <s v="Off-Shoulder Top"/>
    <n v="1599"/>
    <n v="2"/>
    <s v="Valid Quantity"/>
    <n v="3198"/>
    <x v="33"/>
    <s v="DIWALI20"/>
    <n v="20"/>
    <n v="639.6"/>
    <x v="1"/>
    <x v="1"/>
    <s v="Delhi"/>
    <s v="Delhi"/>
    <s v="Delhi"/>
    <d v="2024-10-17T00:00:00"/>
    <s v="Valid Date"/>
    <s v="On time delivery"/>
    <s v="Delivered"/>
    <x v="0"/>
    <s v="Wrong Item"/>
    <x v="9"/>
    <s v="Returned"/>
    <s v="Valid"/>
    <s v="Processed"/>
  </r>
  <r>
    <x v="37"/>
    <x v="9"/>
    <s v="Valid Q4"/>
    <s v="CUST_10042"/>
    <x v="0"/>
    <s v="OUT-DNM-L"/>
    <x v="0"/>
    <s v="Denim Vest"/>
    <n v="2499"/>
    <n v="1"/>
    <s v="Valid Quantity"/>
    <n v="2499"/>
    <x v="7"/>
    <m/>
    <n v="0"/>
    <n v="0"/>
    <x v="4"/>
    <x v="2"/>
    <s v="Chandigarh"/>
    <s v="Punjab"/>
    <s v="Delhi"/>
    <d v="2024-10-20T00:00:00"/>
    <s v="Valid Date"/>
    <s v="On time delivery"/>
    <s v="Delivered"/>
    <x v="1"/>
    <m/>
    <x v="2"/>
    <s v="Not Returned"/>
    <s v="Not returned"/>
    <s v="Not Applicable"/>
  </r>
  <r>
    <x v="38"/>
    <x v="10"/>
    <s v="Valid Q4"/>
    <s v="CUST_10043"/>
    <x v="0"/>
    <s v="ACC-HBG-OS"/>
    <x v="4"/>
    <s v="Hobo Bag"/>
    <n v="1899"/>
    <n v="1"/>
    <s v="Valid Quantity"/>
    <n v="1899"/>
    <x v="23"/>
    <m/>
    <n v="0"/>
    <n v="0"/>
    <x v="0"/>
    <x v="0"/>
    <s v="Noida"/>
    <s v="Uttar Pradesh"/>
    <s v="Delhi"/>
    <d v="2024-10-21T00:00:00"/>
    <s v="Valid Date"/>
    <s v="On time delivery"/>
    <s v="Delivered"/>
    <x v="0"/>
    <s v="Damaged in Transit"/>
    <x v="11"/>
    <s v="Returned"/>
    <s v="Valid"/>
    <s v="Processed"/>
  </r>
  <r>
    <x v="39"/>
    <x v="10"/>
    <s v="Valid Q4"/>
    <s v="CUST_10044"/>
    <x v="0"/>
    <s v="BOT-CHP-M"/>
    <x v="3"/>
    <s v="Chino Pants"/>
    <n v="1999"/>
    <n v="1"/>
    <s v="Valid Quantity"/>
    <n v="1999"/>
    <x v="34"/>
    <s v="FIRST15"/>
    <n v="15"/>
    <n v="299.85000000000002"/>
    <x v="3"/>
    <x v="1"/>
    <s v="Gurgaon"/>
    <s v="Haryana"/>
    <s v="Delhi"/>
    <d v="2024-10-19T00:00:00"/>
    <s v="Valid Date"/>
    <s v="On time delivery"/>
    <s v="Delivered"/>
    <x v="1"/>
    <m/>
    <x v="2"/>
    <s v="Not Returned"/>
    <s v="Not returned"/>
    <s v="Not Applicable"/>
  </r>
  <r>
    <x v="40"/>
    <x v="10"/>
    <s v="Valid Q4"/>
    <s v="CUST_10045"/>
    <x v="1"/>
    <s v="DRS-WRP-M"/>
    <x v="2"/>
    <s v="Wrap Dress"/>
    <n v="2599"/>
    <n v="1"/>
    <s v="Valid Quantity"/>
    <n v="2599"/>
    <x v="35"/>
    <m/>
    <n v="0"/>
    <n v="0"/>
    <x v="1"/>
    <x v="2"/>
    <s v="Indore"/>
    <s v="Madhya Pradesh"/>
    <s v="Mumbai"/>
    <d v="2024-10-20T00:00:00"/>
    <s v="Valid Date"/>
    <s v="On time delivery"/>
    <s v="Delivered"/>
    <x v="1"/>
    <m/>
    <x v="2"/>
    <s v="Not Returned"/>
    <s v="Not returned"/>
    <s v="Not Applicable"/>
  </r>
  <r>
    <x v="41"/>
    <x v="10"/>
    <s v="Valid Q4"/>
    <s v="CUST_10046"/>
    <x v="0"/>
    <s v="TOP-STR-S"/>
    <x v="1"/>
    <s v="Striped Tee"/>
    <n v="1299"/>
    <n v="1"/>
    <s v="Valid Quantity"/>
    <n v="1299"/>
    <x v="36"/>
    <m/>
    <n v="0"/>
    <n v="0"/>
    <x v="2"/>
    <x v="0"/>
    <s v="Surat"/>
    <s v="Gujarat"/>
    <s v="Mumbai"/>
    <m/>
    <s v="Not Delivered"/>
    <s v="Not delivered"/>
    <s v="RTO"/>
    <x v="1"/>
    <m/>
    <x v="2"/>
    <s v="Not Delivered"/>
    <s v="Not returned"/>
    <s v="Not Applicable"/>
  </r>
  <r>
    <x v="42"/>
    <x v="11"/>
    <s v="Valid Q4"/>
    <s v="CUST_10047"/>
    <x v="0"/>
    <s v="OUT-PRK-XL"/>
    <x v="0"/>
    <s v="Parka Jacket"/>
    <n v="5999"/>
    <n v="1"/>
    <s v="Valid Quantity"/>
    <n v="5999"/>
    <x v="37"/>
    <s v="DIWALI20"/>
    <n v="20"/>
    <n v="1199.8"/>
    <x v="1"/>
    <x v="1"/>
    <s v="Patna"/>
    <s v="Bihar"/>
    <s v="Delhi"/>
    <d v="2024-10-22T00:00:00"/>
    <s v="Valid Date"/>
    <s v="On time delivery"/>
    <s v="Delivered"/>
    <x v="0"/>
    <s v="Size Issue"/>
    <x v="12"/>
    <s v="Returned"/>
    <s v="Valid"/>
    <s v="Processed"/>
  </r>
  <r>
    <x v="43"/>
    <x v="11"/>
    <s v="Valid Q4"/>
    <s v="CUST_10048"/>
    <x v="0"/>
    <s v="ACC-EAR-OS"/>
    <x v="4"/>
    <s v="Hoop Earrings"/>
    <n v="799"/>
    <n v="2"/>
    <s v="Valid Quantity"/>
    <n v="1598"/>
    <x v="38"/>
    <m/>
    <n v="0"/>
    <n v="0"/>
    <x v="3"/>
    <x v="2"/>
    <s v="Bhopal"/>
    <s v="Madhya Pradesh"/>
    <s v="Mumbai"/>
    <d v="2024-10-20T00:00:00"/>
    <s v="Valid Date"/>
    <s v="On time delivery"/>
    <s v="Delivered"/>
    <x v="1"/>
    <m/>
    <x v="2"/>
    <s v="Not Returned"/>
    <s v="Not returned"/>
    <s v="Not Applicable"/>
  </r>
  <r>
    <x v="44"/>
    <x v="11"/>
    <s v="Valid Q4"/>
    <s v="CUST_10049"/>
    <x v="1"/>
    <s v="BOT-LGN-S"/>
    <x v="3"/>
    <s v="Leggings"/>
    <n v="999"/>
    <n v="2"/>
    <s v="Valid Quantity"/>
    <n v="1998"/>
    <x v="39"/>
    <m/>
    <n v="0"/>
    <n v="0"/>
    <x v="4"/>
    <x v="1"/>
    <s v="Nagpur"/>
    <s v="Maharashtra"/>
    <s v="Mumbai"/>
    <d v="2024-10-19T00:00:00"/>
    <s v="Valid Date"/>
    <s v="On time delivery"/>
    <s v="Delivered"/>
    <x v="1"/>
    <m/>
    <x v="2"/>
    <s v="Not Returned"/>
    <s v="Not returned"/>
    <s v="Not Applicable"/>
  </r>
  <r>
    <x v="45"/>
    <x v="11"/>
    <s v="Valid Q4"/>
    <s v="CUST_10050"/>
    <x v="0"/>
    <s v="DRS-CTN-L"/>
    <x v="2"/>
    <s v="Cotton Dress"/>
    <n v="1899"/>
    <n v="1"/>
    <s v="Valid Quantity"/>
    <n v="1899"/>
    <x v="23"/>
    <m/>
    <n v="0"/>
    <n v="0"/>
    <x v="0"/>
    <x v="0"/>
    <s v="Coimbatore"/>
    <s v="Tamil Nadu"/>
    <s v="Bangalore"/>
    <d v="2024-10-22T00:00:00"/>
    <s v="Valid Date"/>
    <s v="On time delivery"/>
    <s v="Delivered"/>
    <x v="0"/>
    <s v="Quality Defect"/>
    <x v="13"/>
    <s v="Returned"/>
    <s v="Valid"/>
    <s v="Processed"/>
  </r>
  <r>
    <x v="46"/>
    <x v="12"/>
    <s v="Valid Q4"/>
    <s v="CUST_10051"/>
    <x v="0"/>
    <s v="TOP-LCE-M"/>
    <x v="1"/>
    <s v="Lace Top"/>
    <n v="1699"/>
    <n v="1"/>
    <s v="Valid Quantity"/>
    <n v="1699"/>
    <x v="40"/>
    <s v="FLAT10"/>
    <n v="10"/>
    <n v="169.9"/>
    <x v="1"/>
    <x v="2"/>
    <s v="Kochi"/>
    <s v="Kerala"/>
    <s v="Bangalore"/>
    <d v="2024-10-21T00:00:00"/>
    <s v="Valid Date"/>
    <s v="On time delivery"/>
    <s v="Delivered"/>
    <x v="1"/>
    <m/>
    <x v="2"/>
    <s v="Not Returned"/>
    <s v="Not returned"/>
    <s v="Not Applicable"/>
  </r>
  <r>
    <x v="47"/>
    <x v="12"/>
    <s v="Valid Q4"/>
    <s v="CUST_10052"/>
    <x v="0"/>
    <s v="OUT-BOM-M"/>
    <x v="0"/>
    <s v="Bomber Jacket"/>
    <n v="3799"/>
    <n v="1"/>
    <s v="Valid Quantity"/>
    <n v="3799"/>
    <x v="41"/>
    <m/>
    <n v="0"/>
    <n v="0"/>
    <x v="3"/>
    <x v="1"/>
    <s v="Vizag"/>
    <s v="Andhra Pradesh"/>
    <s v="Bangalore"/>
    <d v="2024-10-23T00:00:00"/>
    <s v="Valid Date"/>
    <s v="On time delivery"/>
    <s v="Delivered"/>
    <x v="0"/>
    <s v="Size Issue"/>
    <x v="14"/>
    <s v="Returned"/>
    <s v="Valid"/>
    <s v="Processed"/>
  </r>
  <r>
    <x v="48"/>
    <x v="12"/>
    <s v="Valid Q4"/>
    <s v="CUST_10053"/>
    <x v="1"/>
    <s v="ACC-NCK-OS"/>
    <x v="4"/>
    <s v="Pendant Necklace"/>
    <n v="1299"/>
    <n v="1"/>
    <s v="Valid Quantity"/>
    <n v="1299"/>
    <x v="36"/>
    <m/>
    <n v="0"/>
    <n v="0"/>
    <x v="2"/>
    <x v="0"/>
    <s v="Thiruvananthapuram"/>
    <s v="Kerala"/>
    <s v="Bangalore"/>
    <d v="2024-10-22T00:00:00"/>
    <s v="Valid Date"/>
    <s v="On time delivery"/>
    <s v="Delivered"/>
    <x v="1"/>
    <m/>
    <x v="2"/>
    <s v="Not Returned"/>
    <s v="Not returned"/>
    <s v="Not Applicable"/>
  </r>
  <r>
    <x v="49"/>
    <x v="12"/>
    <s v="Valid Q4"/>
    <s v="CUST_10054"/>
    <x v="0"/>
    <s v="BOT-WID-M"/>
    <x v="3"/>
    <s v="Wide Leg Pants"/>
    <n v="2099"/>
    <n v="1"/>
    <s v="Valid Quantity"/>
    <n v="2099"/>
    <x v="42"/>
    <s v="DIWALI20"/>
    <n v="20"/>
    <n v="419.8"/>
    <x v="1"/>
    <x v="2"/>
    <s v="Mysore"/>
    <s v="Karnataka"/>
    <s v="Bangalore"/>
    <d v="2024-10-24T00:00:00"/>
    <s v="Valid Date"/>
    <s v="On time delivery"/>
    <s v="Delivered"/>
    <x v="1"/>
    <m/>
    <x v="2"/>
    <s v="Not Returned"/>
    <s v="Not returned"/>
    <s v="Not Applicable"/>
  </r>
  <r>
    <x v="50"/>
    <x v="13"/>
    <s v="Valid Q4"/>
    <s v="CUST_10055"/>
    <x v="0"/>
    <s v="DRS-TIR-S"/>
    <x v="2"/>
    <s v="Tiered Dress"/>
    <n v="2799"/>
    <n v="1"/>
    <s v="Valid Quantity"/>
    <n v="2799"/>
    <x v="9"/>
    <m/>
    <n v="0"/>
    <n v="0"/>
    <x v="0"/>
    <x v="1"/>
    <s v="Vadodara"/>
    <s v="Gujarat"/>
    <s v="Mumbai"/>
    <d v="2024-10-23T00:00:00"/>
    <s v="Valid Date"/>
    <s v="On time delivery"/>
    <s v="Delivered"/>
    <x v="0"/>
    <s v="Changed Mind"/>
    <x v="15"/>
    <s v="Returned"/>
    <s v="Valid"/>
    <s v="Processed"/>
  </r>
  <r>
    <x v="51"/>
    <x v="13"/>
    <s v="Valid Q4"/>
    <s v="CUST_10056"/>
    <x v="0"/>
    <s v="TOP-PEP-M"/>
    <x v="1"/>
    <s v="Peplum Top"/>
    <n v="1499"/>
    <n v="1"/>
    <s v="Valid Quantity"/>
    <n v="1499"/>
    <x v="43"/>
    <m/>
    <n v="0"/>
    <n v="0"/>
    <x v="4"/>
    <x v="2"/>
    <s v="Rajkot"/>
    <s v="Gujarat"/>
    <s v="Mumbai"/>
    <d v="2024-10-22T00:00:00"/>
    <s v="Valid Date"/>
    <s v="On time delivery"/>
    <s v="Delivered"/>
    <x v="1"/>
    <m/>
    <x v="2"/>
    <s v="Not Returned"/>
    <s v="Not returned"/>
    <s v="Not Applicable"/>
  </r>
  <r>
    <x v="52"/>
    <x v="13"/>
    <s v="Valid Q4"/>
    <s v="CUST_10057"/>
    <x v="1"/>
    <s v="OUT-QTD-L"/>
    <x v="0"/>
    <s v="Quilted Jacket"/>
    <n v="4499"/>
    <n v="1"/>
    <s v="Valid Quantity"/>
    <n v="4499"/>
    <x v="44"/>
    <s v="FIRST15"/>
    <n v="15"/>
    <n v="674.85"/>
    <x v="3"/>
    <x v="0"/>
    <s v="Kanpur"/>
    <s v="Uttar Pradesh"/>
    <s v="Delhi"/>
    <d v="2024-10-25T00:00:00"/>
    <s v="Valid Date"/>
    <s v="On time delivery"/>
    <s v="Delivered"/>
    <x v="0"/>
    <s v="Wrong Item"/>
    <x v="16"/>
    <s v="Returned"/>
    <s v="Valid"/>
    <s v="Processed"/>
  </r>
  <r>
    <x v="53"/>
    <x v="13"/>
    <s v="Valid Q4"/>
    <s v="CUST_10058"/>
    <x v="0"/>
    <s v="ACC-BRC-OS"/>
    <x v="4"/>
    <s v="Charm Bracelet"/>
    <n v="899"/>
    <n v="1"/>
    <s v="Valid Quantity"/>
    <n v="899"/>
    <x v="45"/>
    <m/>
    <n v="0"/>
    <n v="0"/>
    <x v="1"/>
    <x v="1"/>
    <s v="Mumbai"/>
    <s v="Maharashtra"/>
    <s v="Mumbai"/>
    <d v="2024-10-23T00:00:00"/>
    <s v="Valid Date"/>
    <s v="On time delivery"/>
    <s v="Delivered"/>
    <x v="1"/>
    <m/>
    <x v="2"/>
    <s v="Not Returned"/>
    <s v="Not returned"/>
    <s v="Not Applicable"/>
  </r>
  <r>
    <x v="54"/>
    <x v="14"/>
    <s v="Valid Q4"/>
    <s v="CUST_10059"/>
    <x v="0"/>
    <s v="BOT-CRP-S"/>
    <x v="3"/>
    <s v="Cropped Pants"/>
    <n v="1799"/>
    <n v="1"/>
    <s v="Valid Quantity"/>
    <n v="1799"/>
    <x v="30"/>
    <m/>
    <n v="0"/>
    <n v="0"/>
    <x v="2"/>
    <x v="2"/>
    <s v="Delhi"/>
    <s v="Delhi"/>
    <s v="Delhi"/>
    <m/>
    <s v="Not Delivered"/>
    <s v="Not delivered"/>
    <s v="RTO"/>
    <x v="1"/>
    <m/>
    <x v="2"/>
    <s v="Not Delivered"/>
    <s v="Not returned"/>
    <s v="Not Applicable"/>
  </r>
  <r>
    <x v="55"/>
    <x v="14"/>
    <s v="Valid Q4"/>
    <s v="CUST_10060"/>
    <x v="0"/>
    <s v="DRS-SLP-M"/>
    <x v="2"/>
    <s v="Slip Dress"/>
    <n v="2199"/>
    <n v="1"/>
    <s v="Valid Quantity"/>
    <n v="2199"/>
    <x v="2"/>
    <s v="DIWALI20"/>
    <n v="20"/>
    <n v="439.8"/>
    <x v="0"/>
    <x v="0"/>
    <s v="Kolkata"/>
    <s v="West Bengal"/>
    <s v="Delhi"/>
    <d v="2024-10-26T00:00:00"/>
    <s v="Valid Date"/>
    <s v="On time delivery"/>
    <s v="Delivered"/>
    <x v="0"/>
    <s v="Size Issue"/>
    <x v="17"/>
    <s v="Returned"/>
    <s v="Valid"/>
    <s v="Processed"/>
  </r>
  <r>
    <x v="56"/>
    <x v="14"/>
    <s v="Valid Q4"/>
    <s v="CUST_10061"/>
    <x v="1"/>
    <s v="TOP-HLT-L"/>
    <x v="1"/>
    <s v="Halter Top"/>
    <n v="1399"/>
    <n v="1"/>
    <s v="Valid Quantity"/>
    <n v="1399"/>
    <x v="46"/>
    <m/>
    <n v="0"/>
    <n v="0"/>
    <x v="3"/>
    <x v="1"/>
    <s v="Chennai"/>
    <s v="Tamil Nadu"/>
    <s v="Bangalore"/>
    <d v="2024-10-24T00:00:00"/>
    <s v="Valid Date"/>
    <s v="On time delivery"/>
    <s v="Delivered"/>
    <x v="1"/>
    <m/>
    <x v="2"/>
    <s v="Not Returned"/>
    <s v="Not returned"/>
    <s v="Not Applicable"/>
  </r>
  <r>
    <x v="57"/>
    <x v="14"/>
    <s v="Valid Q4"/>
    <s v="CUST_10062"/>
    <x v="0"/>
    <s v="OUT-FLC-M"/>
    <x v="0"/>
    <s v="Fleece Jacket"/>
    <n v="2999"/>
    <n v="1"/>
    <s v="Valid Quantity"/>
    <n v="2999"/>
    <x v="27"/>
    <m/>
    <n v="0"/>
    <n v="0"/>
    <x v="1"/>
    <x v="2"/>
    <s v="Hyderabad"/>
    <s v="Telangana"/>
    <s v="Bangalore"/>
    <d v="2024-10-27T00:00:00"/>
    <s v="Valid Date"/>
    <s v="On time delivery"/>
    <s v="Delivered"/>
    <x v="0"/>
    <s v="Quality Defect"/>
    <x v="18"/>
    <s v="Returned"/>
    <s v="Valid"/>
    <s v="Processed"/>
  </r>
  <r>
    <x v="58"/>
    <x v="15"/>
    <s v="Valid Q4"/>
    <s v="CUST_10063"/>
    <x v="0"/>
    <s v="ACC-RNG-OS"/>
    <x v="4"/>
    <s v="Cocktail Ring"/>
    <n v="699"/>
    <n v="2"/>
    <s v="Valid Quantity"/>
    <n v="1398"/>
    <x v="47"/>
    <s v="FLAT10"/>
    <n v="10"/>
    <n v="139.80000000000001"/>
    <x v="4"/>
    <x v="0"/>
    <s v="Pune"/>
    <s v="Maharashtra"/>
    <s v="Mumbai"/>
    <d v="2024-10-25T00:00:00"/>
    <s v="Valid Date"/>
    <s v="On time delivery"/>
    <s v="Delivered"/>
    <x v="1"/>
    <m/>
    <x v="2"/>
    <s v="Not Returned"/>
    <s v="Not returned"/>
    <s v="Not Applicable"/>
  </r>
  <r>
    <x v="59"/>
    <x v="15"/>
    <s v="Valid Q4"/>
    <s v="CUST_10064"/>
    <x v="0"/>
    <s v="BOT-SKN-M"/>
    <x v="3"/>
    <s v="Skinny Jeans"/>
    <n v="2199"/>
    <n v="1"/>
    <s v="Valid Quantity"/>
    <n v="2199"/>
    <x v="48"/>
    <m/>
    <n v="0"/>
    <n v="0"/>
    <x v="2"/>
    <x v="1"/>
    <s v="Ahmedabad"/>
    <s v="Gujarat"/>
    <s v="Mumbai"/>
    <d v="2024-10-28T00:00:00"/>
    <s v="Valid Date"/>
    <s v="On time delivery"/>
    <s v="Delivered"/>
    <x v="0"/>
    <s v="Size Issue"/>
    <x v="19"/>
    <s v="Returned"/>
    <s v="Valid"/>
    <s v="Processed"/>
  </r>
  <r>
    <x v="60"/>
    <x v="15"/>
    <s v="Valid Q4"/>
    <s v="CUST_10065"/>
    <x v="1"/>
    <s v="DRS-KNT-S"/>
    <x v="2"/>
    <s v="Knit Dress"/>
    <n v="2499"/>
    <n v="1"/>
    <s v="Valid Quantity"/>
    <n v="2499"/>
    <x v="7"/>
    <m/>
    <n v="0"/>
    <n v="0"/>
    <x v="1"/>
    <x v="2"/>
    <s v="Jaipur"/>
    <s v="Rajasthan"/>
    <s v="Delhi"/>
    <d v="2024-10-26T00:00:00"/>
    <s v="Valid Date"/>
    <s v="On time delivery"/>
    <s v="Delivered"/>
    <x v="1"/>
    <m/>
    <x v="2"/>
    <s v="Not Returned"/>
    <s v="Not returned"/>
    <s v="Not Applicable"/>
  </r>
  <r>
    <x v="61"/>
    <x v="15"/>
    <s v="Valid Q4"/>
    <s v="CUST_10066"/>
    <x v="0"/>
    <s v="TOP-EMB-M"/>
    <x v="1"/>
    <s v="Embroidered Top"/>
    <n v="1899"/>
    <n v="1"/>
    <s v="Valid Quantity"/>
    <n v="1899"/>
    <x v="49"/>
    <s v="DIWALI20"/>
    <n v="20"/>
    <n v="379.8"/>
    <x v="3"/>
    <x v="0"/>
    <s v="Lucknow"/>
    <s v="Uttar Pradesh"/>
    <s v="Delhi"/>
    <d v="2024-10-27T00:00:00"/>
    <s v="Valid Date"/>
    <s v="On time delivery"/>
    <s v="Delivered"/>
    <x v="0"/>
    <s v="Changed Mind"/>
    <x v="16"/>
    <s v="Returned"/>
    <s v="Valid"/>
    <s v="Processed"/>
  </r>
  <r>
    <x v="62"/>
    <x v="16"/>
    <s v="Valid Q4"/>
    <s v="CUST_10067"/>
    <x v="0"/>
    <s v="OUT-SHR-L"/>
    <x v="0"/>
    <s v="Shrug"/>
    <n v="1299"/>
    <n v="1"/>
    <s v="Valid Quantity"/>
    <n v="1299"/>
    <x v="36"/>
    <m/>
    <n v="0"/>
    <n v="0"/>
    <x v="0"/>
    <x v="1"/>
    <s v="Bangalore"/>
    <s v="Karnataka"/>
    <s v="Bangalore"/>
    <d v="2024-10-28T00:00:00"/>
    <s v="Valid Date"/>
    <s v="On time delivery"/>
    <s v="Delivered"/>
    <x v="1"/>
    <m/>
    <x v="2"/>
    <s v="Not Returned"/>
    <s v="Not returned"/>
    <s v="Not Applicable"/>
  </r>
  <r>
    <x v="63"/>
    <x v="16"/>
    <s v="Valid Q4"/>
    <s v="CUST_10068"/>
    <x v="0"/>
    <s v="ACC-CLT-OS"/>
    <x v="4"/>
    <s v="Clutch Bag"/>
    <n v="1599"/>
    <n v="1"/>
    <s v="Valid Quantity"/>
    <n v="1599"/>
    <x v="28"/>
    <m/>
    <n v="0"/>
    <n v="0"/>
    <x v="1"/>
    <x v="2"/>
    <s v="Mumbai"/>
    <s v="Maharashtra"/>
    <s v="Mumbai"/>
    <d v="2024-10-27T00:00:00"/>
    <s v="Valid Date"/>
    <s v="On time delivery"/>
    <s v="Delivered"/>
    <x v="0"/>
    <s v="Damaged in Transit"/>
    <x v="17"/>
    <s v="Returned"/>
    <s v="Valid"/>
    <s v="Processed"/>
  </r>
  <r>
    <x v="64"/>
    <x v="16"/>
    <s v="Valid Q4"/>
    <s v="CUST_10069"/>
    <x v="1"/>
    <s v="BOT-FLR-S"/>
    <x v="3"/>
    <s v="Flared Jeans"/>
    <n v="2099"/>
    <n v="1"/>
    <s v="Valid Quantity"/>
    <n v="2099"/>
    <x v="50"/>
    <s v="FIRST15"/>
    <n v="15"/>
    <n v="314.85000000000002"/>
    <x v="3"/>
    <x v="0"/>
    <s v="Delhi"/>
    <s v="Delhi"/>
    <s v="Delhi"/>
    <d v="2024-10-29T00:00:00"/>
    <s v="Valid Date"/>
    <s v="On time delivery"/>
    <s v="Delivered"/>
    <x v="1"/>
    <m/>
    <x v="2"/>
    <s v="Not Returned"/>
    <s v="Not returned"/>
    <s v="Not Applicable"/>
  </r>
  <r>
    <x v="65"/>
    <x v="16"/>
    <s v="Valid Q4"/>
    <s v="CUST_10070"/>
    <x v="0"/>
    <s v="DRS-PIN-M"/>
    <x v="2"/>
    <s v="Pinafore Dress"/>
    <n v="2299"/>
    <n v="1"/>
    <s v="Valid Quantity"/>
    <n v="2299"/>
    <x v="3"/>
    <m/>
    <n v="0"/>
    <n v="0"/>
    <x v="2"/>
    <x v="1"/>
    <s v="Chandigarh"/>
    <s v="Punjab"/>
    <s v="Delhi"/>
    <m/>
    <s v="Not Delivered"/>
    <s v="Not delivered"/>
    <s v="RTO"/>
    <x v="1"/>
    <m/>
    <x v="2"/>
    <s v="Not Delivered"/>
    <s v="Not returned"/>
    <s v="Not Applicable"/>
  </r>
  <r>
    <x v="66"/>
    <x v="17"/>
    <s v="Valid Q4"/>
    <s v="CUST_10071"/>
    <x v="0"/>
    <s v="TOP-CRW-L"/>
    <x v="1"/>
    <s v="Crew Neck Tee"/>
    <n v="1199"/>
    <n v="2"/>
    <s v="Valid Quantity"/>
    <n v="2398"/>
    <x v="51"/>
    <m/>
    <n v="0"/>
    <n v="0"/>
    <x v="4"/>
    <x v="2"/>
    <s v="Noida"/>
    <s v="Uttar Pradesh"/>
    <s v="Delhi"/>
    <d v="2024-10-28T00:00:00"/>
    <s v="Valid Date"/>
    <s v="On time delivery"/>
    <s v="Delivered"/>
    <x v="1"/>
    <m/>
    <x v="2"/>
    <s v="Not Returned"/>
    <s v="Not returned"/>
    <s v="Not Applicable"/>
  </r>
  <r>
    <x v="67"/>
    <x v="17"/>
    <s v="Valid Q4"/>
    <s v="CUST_10072"/>
    <x v="0"/>
    <s v="OUT-CDG-M"/>
    <x v="0"/>
    <s v="Cardigan"/>
    <n v="2599"/>
    <n v="1"/>
    <s v="Valid Quantity"/>
    <n v="2599"/>
    <x v="52"/>
    <s v="DIWALI20"/>
    <n v="20"/>
    <n v="519.79999999999995"/>
    <x v="1"/>
    <x v="0"/>
    <s v="Gurgaon"/>
    <s v="Haryana"/>
    <s v="Delhi"/>
    <d v="2024-10-30T00:00:00"/>
    <s v="Valid Date"/>
    <s v="On time delivery"/>
    <s v="Delivered"/>
    <x v="0"/>
    <s v="Size Issue"/>
    <x v="20"/>
    <s v="Returned"/>
    <s v="Valid"/>
    <s v="Processed"/>
  </r>
  <r>
    <x v="68"/>
    <x v="17"/>
    <s v="Valid Q4"/>
    <s v="CUST_10073"/>
    <x v="1"/>
    <s v="ACC-SCR-OS"/>
    <x v="4"/>
    <s v="Hair Scrunchie"/>
    <n v="299"/>
    <n v="5"/>
    <s v="Valid Quantity"/>
    <n v="1495"/>
    <x v="53"/>
    <m/>
    <n v="0"/>
    <n v="0"/>
    <x v="3"/>
    <x v="1"/>
    <s v="Indore"/>
    <s v="Madhya Pradesh"/>
    <s v="Mumbai"/>
    <d v="2024-10-27T00:00:00"/>
    <s v="Valid Date"/>
    <s v="On time delivery"/>
    <s v="Delivered"/>
    <x v="1"/>
    <m/>
    <x v="2"/>
    <s v="Not Returned"/>
    <s v="Not returned"/>
    <s v="Not Applicable"/>
  </r>
  <r>
    <x v="69"/>
    <x v="17"/>
    <s v="Valid Q4"/>
    <s v="CUST_10074"/>
    <x v="0"/>
    <s v="BOT-PPR-M"/>
    <x v="3"/>
    <s v="Paper Bag Pants"/>
    <n v="1899"/>
    <n v="1"/>
    <s v="Valid Quantity"/>
    <n v="1899"/>
    <x v="23"/>
    <m/>
    <n v="0"/>
    <n v="0"/>
    <x v="0"/>
    <x v="2"/>
    <s v="Surat"/>
    <s v="Gujarat"/>
    <s v="Mumbai"/>
    <d v="2024-10-30T00:00:00"/>
    <s v="Valid Date"/>
    <s v="On time delivery"/>
    <s v="Delivered"/>
    <x v="0"/>
    <s v="Wrong Item"/>
    <x v="21"/>
    <s v="Returned"/>
    <s v="Valid"/>
    <s v="Processed"/>
  </r>
  <r>
    <x v="70"/>
    <x v="18"/>
    <s v="Valid Q4"/>
    <s v="CUST_10075"/>
    <x v="0"/>
    <s v="DRS-SMK-S"/>
    <x v="2"/>
    <s v="Smocked Dress"/>
    <n v="2199"/>
    <n v="1"/>
    <s v="Valid Quantity"/>
    <n v="2199"/>
    <x v="48"/>
    <m/>
    <n v="0"/>
    <n v="0"/>
    <x v="1"/>
    <x v="0"/>
    <s v="Patna"/>
    <s v="Bihar"/>
    <s v="Delhi"/>
    <d v="2024-10-31T00:00:00"/>
    <s v="Valid Date"/>
    <s v="On time delivery"/>
    <s v="Delivered"/>
    <x v="1"/>
    <m/>
    <x v="2"/>
    <s v="Not Returned"/>
    <s v="Not returned"/>
    <s v="Not Applicable"/>
  </r>
  <r>
    <x v="71"/>
    <x v="18"/>
    <s v="Valid Q4"/>
    <s v="CUST_10076"/>
    <x v="0"/>
    <s v="TOP-BTN-M"/>
    <x v="1"/>
    <s v="Button-Down Shirt"/>
    <n v="1799"/>
    <n v="1"/>
    <s v="Valid Quantity"/>
    <n v="1799"/>
    <x v="54"/>
    <s v="FLAT10"/>
    <n v="10"/>
    <n v="179.9"/>
    <x v="2"/>
    <x v="1"/>
    <s v="Bhopal"/>
    <s v="Madhya Pradesh"/>
    <s v="Mumbai"/>
    <d v="2024-10-29T00:00:00"/>
    <s v="Valid Date"/>
    <s v="On time delivery"/>
    <s v="Delivered"/>
    <x v="0"/>
    <s v="Quality Defect"/>
    <x v="19"/>
    <s v="Returned"/>
    <s v="Valid"/>
    <s v="Processed"/>
  </r>
  <r>
    <x v="72"/>
    <x v="18"/>
    <s v="Valid Q4"/>
    <s v="CUST_10077"/>
    <x v="1"/>
    <s v="OUT-VLV-L"/>
    <x v="0"/>
    <s v="Velvet Blazer"/>
    <n v="4999"/>
    <n v="1"/>
    <s v="Valid Quantity"/>
    <n v="4999"/>
    <x v="55"/>
    <m/>
    <n v="0"/>
    <n v="0"/>
    <x v="3"/>
    <x v="2"/>
    <s v="Nagpur"/>
    <s v="Maharashtra"/>
    <s v="Mumbai"/>
    <d v="2024-11-01T00:00:00"/>
    <s v="Valid Date"/>
    <s v="On time delivery"/>
    <s v="Delivered"/>
    <x v="1"/>
    <m/>
    <x v="2"/>
    <s v="Not Returned"/>
    <s v="Not returned"/>
    <s v="Not Applicable"/>
  </r>
  <r>
    <x v="73"/>
    <x v="18"/>
    <s v="Valid Q4"/>
    <s v="CUST_10078"/>
    <x v="0"/>
    <s v="ACC-TOT-OS"/>
    <x v="4"/>
    <s v="Canvas Tote"/>
    <n v="999"/>
    <n v="1"/>
    <s v="Valid Quantity"/>
    <n v="999"/>
    <x v="56"/>
    <m/>
    <n v="0"/>
    <n v="0"/>
    <x v="4"/>
    <x v="0"/>
    <s v="Coimbatore"/>
    <s v="Tamil Nadu"/>
    <s v="Bangalore"/>
    <d v="2024-10-30T00:00:00"/>
    <s v="Valid Date"/>
    <s v="On time delivery"/>
    <s v="Delivered"/>
    <x v="0"/>
    <s v="Size Issue"/>
    <x v="21"/>
    <s v="Returned"/>
    <s v="Valid"/>
    <s v="Processed"/>
  </r>
  <r>
    <x v="74"/>
    <x v="19"/>
    <s v="Valid Q4"/>
    <s v="CUST_10079"/>
    <x v="0"/>
    <s v="BOT-CRG-S"/>
    <x v="3"/>
    <s v="Cargo Shorts"/>
    <n v="1499"/>
    <n v="1"/>
    <s v="Valid Quantity"/>
    <n v="1499"/>
    <x v="57"/>
    <s v="DIWALI20"/>
    <n v="20"/>
    <n v="299.8"/>
    <x v="1"/>
    <x v="1"/>
    <s v="Kochi"/>
    <s v="Kerala"/>
    <s v="Bangalore"/>
    <d v="2024-10-31T00:00:00"/>
    <s v="Valid Date"/>
    <s v="On time delivery"/>
    <s v="Delivered"/>
    <x v="1"/>
    <m/>
    <x v="2"/>
    <s v="Not Returned"/>
    <s v="Not returned"/>
    <s v="Not Applicable"/>
  </r>
  <r>
    <x v="75"/>
    <x v="19"/>
    <s v="Valid Q4"/>
    <s v="CUST_10080"/>
    <x v="0"/>
    <s v="DRS-BTR-M"/>
    <x v="2"/>
    <s v="Butterfly Dress"/>
    <n v="2899"/>
    <n v="1"/>
    <s v="Valid Quantity"/>
    <n v="2899"/>
    <x v="12"/>
    <m/>
    <n v="0"/>
    <n v="0"/>
    <x v="0"/>
    <x v="2"/>
    <s v="Vizag"/>
    <s v="Andhra Pradesh"/>
    <s v="Bangalore"/>
    <d v="2024-11-02T00:00:00"/>
    <s v="Valid Date"/>
    <s v="On time delivery"/>
    <s v="Delivered"/>
    <x v="0"/>
    <s v="Changed Mind"/>
    <x v="22"/>
    <s v="Returned"/>
    <s v="Valid"/>
    <s v="Processed"/>
  </r>
  <r>
    <x v="76"/>
    <x v="19"/>
    <s v="Valid Q4"/>
    <s v="CUST_10081"/>
    <x v="1"/>
    <s v="TOP-VNK-L"/>
    <x v="1"/>
    <s v="V-Neck Tee"/>
    <n v="1099"/>
    <n v="2"/>
    <s v="Valid Quantity"/>
    <n v="2198"/>
    <x v="58"/>
    <m/>
    <n v="0"/>
    <n v="0"/>
    <x v="3"/>
    <x v="0"/>
    <s v="Thiruvananthapuram"/>
    <s v="Kerala"/>
    <s v="Bangalore"/>
    <d v="2024-10-30T00:00:00"/>
    <s v="Valid Date"/>
    <s v="On time delivery"/>
    <s v="Delivered"/>
    <x v="1"/>
    <m/>
    <x v="2"/>
    <s v="Not Returned"/>
    <s v="Not returned"/>
    <s v="Not Applicable"/>
  </r>
  <r>
    <x v="77"/>
    <x v="19"/>
    <s v="Valid Q4"/>
    <s v="CUST_10082"/>
    <x v="0"/>
    <s v="OUT-TRN-M"/>
    <x v="0"/>
    <s v="Trench Coat"/>
    <n v="5499"/>
    <n v="1"/>
    <s v="Valid Quantity"/>
    <n v="5499"/>
    <x v="59"/>
    <s v="FIRST15"/>
    <n v="15"/>
    <n v="824.85"/>
    <x v="1"/>
    <x v="1"/>
    <s v="Mysore"/>
    <s v="Karnataka"/>
    <s v="Bangalore"/>
    <d v="2024-11-03T00:00:00"/>
    <s v="Valid Date"/>
    <s v="On time delivery"/>
    <s v="Delivered"/>
    <x v="0"/>
    <s v="Size Issue"/>
    <x v="23"/>
    <s v="Returned"/>
    <s v="Valid"/>
    <s v="Processed"/>
  </r>
  <r>
    <x v="78"/>
    <x v="20"/>
    <s v="Valid Q4"/>
    <s v="CUST_10083"/>
    <x v="0"/>
    <s v="ACC-BDY-OS"/>
    <x v="4"/>
    <s v="Body Chain"/>
    <n v="799"/>
    <n v="1"/>
    <s v="Valid Quantity"/>
    <n v="799"/>
    <x v="60"/>
    <m/>
    <n v="0"/>
    <n v="0"/>
    <x v="2"/>
    <x v="2"/>
    <s v="Vadodara"/>
    <s v="Gujarat"/>
    <s v="Mumbai"/>
    <m/>
    <s v="Not Delivered"/>
    <s v="Not delivered"/>
    <s v="RTO"/>
    <x v="1"/>
    <m/>
    <x v="2"/>
    <s v="Not Delivered"/>
    <s v="Not returned"/>
    <s v="Not Applicable"/>
  </r>
  <r>
    <x v="79"/>
    <x v="20"/>
    <s v="Valid Q4"/>
    <s v="CUST_10084"/>
    <x v="0"/>
    <s v="BOT-JGR-L"/>
    <x v="3"/>
    <s v="Jogger Pants"/>
    <n v="1599"/>
    <n v="1"/>
    <s v="Valid Quantity"/>
    <n v="1599"/>
    <x v="28"/>
    <m/>
    <n v="0"/>
    <n v="0"/>
    <x v="4"/>
    <x v="0"/>
    <s v="Rajkot"/>
    <s v="Gujarat"/>
    <s v="Mumbai"/>
    <d v="2024-11-02T00:00:00"/>
    <s v="Valid Date"/>
    <s v="On time delivery"/>
    <s v="Delivered"/>
    <x v="1"/>
    <m/>
    <x v="2"/>
    <s v="Not Returned"/>
    <s v="Not returned"/>
    <s v="Not Applicable"/>
  </r>
  <r>
    <x v="80"/>
    <x v="20"/>
    <s v="Valid Q4"/>
    <s v="CUST_10085"/>
    <x v="1"/>
    <s v="DRS-RFL-S"/>
    <x v="2"/>
    <s v="Ruffle Dress"/>
    <n v="2699"/>
    <n v="1"/>
    <s v="Valid Quantity"/>
    <n v="2699"/>
    <x v="61"/>
    <s v="DIWALI20"/>
    <n v="20"/>
    <n v="539.79999999999995"/>
    <x v="1"/>
    <x v="1"/>
    <s v="Kanpur"/>
    <s v="Uttar Pradesh"/>
    <s v="Delhi"/>
    <d v="2024-11-01T00:00:00"/>
    <s v="Valid Date"/>
    <s v="On time delivery"/>
    <s v="Delivered"/>
    <x v="0"/>
    <s v="Quality Defect"/>
    <x v="22"/>
    <s v="Returned"/>
    <s v="Valid"/>
    <s v="Processed"/>
  </r>
  <r>
    <x v="81"/>
    <x v="20"/>
    <s v="Valid Q4"/>
    <s v="CUST_10086"/>
    <x v="0"/>
    <s v="TOP-SQR-M"/>
    <x v="1"/>
    <s v="Square Neck Top"/>
    <n v="1499"/>
    <n v="1"/>
    <s v="Valid Quantity"/>
    <n v="1499"/>
    <x v="43"/>
    <m/>
    <n v="0"/>
    <n v="0"/>
    <x v="3"/>
    <x v="2"/>
    <s v="Mumbai"/>
    <s v="Maharashtra"/>
    <s v="Mumbai"/>
    <d v="2024-11-02T00:00:00"/>
    <s v="Valid Date"/>
    <s v="On time delivery"/>
    <s v="Delivered"/>
    <x v="1"/>
    <m/>
    <x v="2"/>
    <s v="Not Returned"/>
    <s v="Not returned"/>
    <s v="Not Applicable"/>
  </r>
  <r>
    <x v="82"/>
    <x v="21"/>
    <s v="Valid Q4"/>
    <s v="CUST_10087"/>
    <x v="0"/>
    <s v="OUT-WND-L"/>
    <x v="0"/>
    <s v="Windbreaker"/>
    <n v="3299"/>
    <n v="1"/>
    <s v="Valid Quantity"/>
    <n v="3299"/>
    <x v="6"/>
    <m/>
    <n v="0"/>
    <n v="0"/>
    <x v="0"/>
    <x v="0"/>
    <s v="Delhi"/>
    <s v="Delhi"/>
    <s v="Delhi"/>
    <d v="2024-11-04T00:00:00"/>
    <s v="Valid Date"/>
    <s v="On time delivery"/>
    <s v="Delivered"/>
    <x v="0"/>
    <s v="Wrong Item"/>
    <x v="24"/>
    <s v="Returned"/>
    <s v="Valid"/>
    <s v="Processed"/>
  </r>
  <r>
    <x v="83"/>
    <x v="21"/>
    <s v="Valid Q4"/>
    <s v="CUST_10088"/>
    <x v="0"/>
    <s v="ACC-ANK-OS"/>
    <x v="4"/>
    <s v="Anklet"/>
    <n v="499"/>
    <n v="2"/>
    <s v="Valid Quantity"/>
    <n v="998"/>
    <x v="62"/>
    <s v="FLAT10"/>
    <n v="10"/>
    <n v="99.8"/>
    <x v="1"/>
    <x v="1"/>
    <s v="Kolkata"/>
    <s v="West Bengal"/>
    <s v="Delhi"/>
    <d v="2024-11-01T00:00:00"/>
    <s v="Valid Date"/>
    <s v="On time delivery"/>
    <s v="Delivered"/>
    <x v="1"/>
    <m/>
    <x v="2"/>
    <s v="Not Returned"/>
    <s v="Not returned"/>
    <s v="Not Applicable"/>
  </r>
  <r>
    <x v="84"/>
    <x v="21"/>
    <s v="Valid Q4"/>
    <s v="CUST_10089"/>
    <x v="1"/>
    <s v="BOT-TRS-M"/>
    <x v="3"/>
    <s v="Tailored Trousers"/>
    <n v="2399"/>
    <n v="1"/>
    <s v="Valid Quantity"/>
    <n v="2399"/>
    <x v="16"/>
    <m/>
    <n v="0"/>
    <n v="0"/>
    <x v="3"/>
    <x v="2"/>
    <s v="Chennai"/>
    <s v="Tamil Nadu"/>
    <s v="Bangalore"/>
    <d v="2024-11-03T00:00:00"/>
    <s v="Valid Date"/>
    <s v="On time delivery"/>
    <s v="Delivered"/>
    <x v="1"/>
    <m/>
    <x v="2"/>
    <s v="Not Returned"/>
    <s v="Not returned"/>
    <s v="Not Applicable"/>
  </r>
  <r>
    <x v="85"/>
    <x v="21"/>
    <s v="Valid Q4"/>
    <s v="CUST_10090"/>
    <x v="0"/>
    <s v="DRS-LST-M"/>
    <x v="2"/>
    <s v="Lace Trim Dress"/>
    <n v="2599"/>
    <n v="1"/>
    <s v="Valid Quantity"/>
    <n v="2599"/>
    <x v="35"/>
    <m/>
    <n v="0"/>
    <n v="0"/>
    <x v="2"/>
    <x v="0"/>
    <s v="Hyderabad"/>
    <s v="Telangana"/>
    <s v="Bangalore"/>
    <m/>
    <s v="Not Delivered"/>
    <s v="Not delivered"/>
    <s v="RTO"/>
    <x v="1"/>
    <m/>
    <x v="2"/>
    <s v="Not Delivered"/>
    <s v="Not returned"/>
    <s v="Not Applicable"/>
  </r>
  <r>
    <x v="86"/>
    <x v="22"/>
    <s v="Valid Q4"/>
    <s v="CUST_10091"/>
    <x v="0"/>
    <s v="TOP-TIE-S"/>
    <x v="1"/>
    <s v="Tie-Front Top"/>
    <n v="1399"/>
    <n v="1"/>
    <s v="Valid Quantity"/>
    <n v="1399"/>
    <x v="63"/>
    <s v="DIWALI20"/>
    <n v="20"/>
    <n v="279.8"/>
    <x v="4"/>
    <x v="1"/>
    <s v="Pune"/>
    <s v="Maharashtra"/>
    <s v="Mumbai"/>
    <d v="2024-11-03T00:00:00"/>
    <s v="Valid Date"/>
    <s v="On time delivery"/>
    <s v="Delivered"/>
    <x v="0"/>
    <s v="Size Issue"/>
    <x v="25"/>
    <s v="Returned"/>
    <s v="Valid"/>
    <s v="Processed"/>
  </r>
  <r>
    <x v="87"/>
    <x v="22"/>
    <s v="Valid Q4"/>
    <s v="CUST_10092"/>
    <x v="0"/>
    <s v="OUT-PUF-M"/>
    <x v="0"/>
    <s v="Puffer Jacket"/>
    <n v="4299"/>
    <n v="1"/>
    <s v="Valid Quantity"/>
    <n v="4299"/>
    <x v="64"/>
    <m/>
    <n v="0"/>
    <n v="0"/>
    <x v="1"/>
    <x v="2"/>
    <s v="Ahmedabad"/>
    <s v="Gujarat"/>
    <s v="Mumbai"/>
    <d v="2024-11-05T00:00:00"/>
    <s v="Valid Date"/>
    <s v="On time delivery"/>
    <s v="Delivered"/>
    <x v="1"/>
    <m/>
    <x v="2"/>
    <s v="Not Returned"/>
    <s v="Not returned"/>
    <s v="Not Applicable"/>
  </r>
  <r>
    <x v="88"/>
    <x v="22"/>
    <s v="Valid Q4"/>
    <s v="CUST_10093"/>
    <x v="1"/>
    <s v="ACC-HDR-OS"/>
    <x v="4"/>
    <s v="Hairband"/>
    <n v="399"/>
    <n v="3"/>
    <s v="Valid Quantity"/>
    <n v="1197"/>
    <x v="65"/>
    <m/>
    <n v="0"/>
    <n v="0"/>
    <x v="3"/>
    <x v="0"/>
    <s v="Jaipur"/>
    <s v="Rajasthan"/>
    <s v="Delhi"/>
    <d v="2024-11-02T00:00:00"/>
    <s v="Valid Date"/>
    <s v="On time delivery"/>
    <s v="Delivered"/>
    <x v="1"/>
    <m/>
    <x v="2"/>
    <s v="Not Returned"/>
    <s v="Not returned"/>
    <s v="Not Applicable"/>
  </r>
  <r>
    <x v="89"/>
    <x v="22"/>
    <s v="Valid Q4"/>
    <s v="CUST_10094"/>
    <x v="0"/>
    <s v="BOT-PLT-L"/>
    <x v="3"/>
    <s v="Pleated Trousers"/>
    <n v="2199"/>
    <n v="1"/>
    <s v="Valid Quantity"/>
    <n v="2199"/>
    <x v="66"/>
    <s v="FIRST15"/>
    <n v="15"/>
    <n v="329.85"/>
    <x v="0"/>
    <x v="1"/>
    <s v="Lucknow"/>
    <s v="Uttar Pradesh"/>
    <s v="Delhi"/>
    <d v="2024-11-05T00:00:00"/>
    <s v="Valid Date"/>
    <s v="On time delivery"/>
    <s v="Delivered"/>
    <x v="0"/>
    <s v="Damaged in Transit"/>
    <x v="26"/>
    <s v="Returned"/>
    <s v="Valid"/>
    <s v="Processed"/>
  </r>
  <r>
    <x v="90"/>
    <x v="23"/>
    <s v="Valid Q4"/>
    <s v="CUST_10095"/>
    <x v="0"/>
    <s v="DRS-SHR-S"/>
    <x v="2"/>
    <s v="Shirtdress"/>
    <n v="2399"/>
    <n v="1"/>
    <s v="Valid Quantity"/>
    <n v="2399"/>
    <x v="16"/>
    <m/>
    <n v="0"/>
    <n v="0"/>
    <x v="1"/>
    <x v="2"/>
    <s v="Bangalore"/>
    <s v="Karnataka"/>
    <s v="Bangalore"/>
    <d v="2024-11-04T00:00:00"/>
    <s v="Valid Date"/>
    <s v="On time delivery"/>
    <s v="Delivered"/>
    <x v="1"/>
    <m/>
    <x v="2"/>
    <s v="Not Returned"/>
    <s v="Not returned"/>
    <s v="Not Applicable"/>
  </r>
  <r>
    <x v="91"/>
    <x v="23"/>
    <s v="Valid Q4"/>
    <s v="CUST_10096"/>
    <x v="0"/>
    <s v="TOP-GRF-M"/>
    <x v="1"/>
    <s v="Graphic Tee"/>
    <n v="1299"/>
    <n v="1"/>
    <s v="Valid Quantity"/>
    <n v="1299"/>
    <x v="36"/>
    <m/>
    <n v="0"/>
    <n v="0"/>
    <x v="2"/>
    <x v="0"/>
    <s v="Mumbai"/>
    <s v="Maharashtra"/>
    <s v="Mumbai"/>
    <d v="2024-11-06T00:00:00"/>
    <s v="Valid Date"/>
    <s v="On time delivery"/>
    <s v="Delivered"/>
    <x v="0"/>
    <s v="Changed Mind"/>
    <x v="26"/>
    <s v="Returned"/>
    <s v="Valid"/>
    <s v="Processed"/>
  </r>
  <r>
    <x v="92"/>
    <x v="23"/>
    <s v="Valid Q4"/>
    <s v="CUST_10097"/>
    <x v="1"/>
    <s v="OUT-SHW-L"/>
    <x v="0"/>
    <s v="Shawl Wrap"/>
    <n v="2799"/>
    <n v="1"/>
    <s v="Valid Quantity"/>
    <n v="2799"/>
    <x v="67"/>
    <s v="DIWALI20"/>
    <n v="20"/>
    <n v="559.79999999999995"/>
    <x v="3"/>
    <x v="1"/>
    <s v="Delhi"/>
    <s v="Delhi"/>
    <s v="Delhi"/>
    <d v="2024-11-05T00:00:00"/>
    <s v="Valid Date"/>
    <s v="On time delivery"/>
    <s v="Delivered"/>
    <x v="1"/>
    <m/>
    <x v="2"/>
    <s v="Not Returned"/>
    <s v="Not returned"/>
    <s v="Not Applicable"/>
  </r>
  <r>
    <x v="93"/>
    <x v="23"/>
    <s v="Valid Q4"/>
    <s v="CUST_10098"/>
    <x v="0"/>
    <s v="ACC-BLT-S"/>
    <x v="4"/>
    <s v="Braided Belt"/>
    <n v="699"/>
    <n v="1"/>
    <s v="Valid Quantity"/>
    <n v="699"/>
    <x v="68"/>
    <m/>
    <n v="0"/>
    <n v="0"/>
    <x v="4"/>
    <x v="2"/>
    <s v="Chandigarh"/>
    <s v="Punjab"/>
    <s v="Delhi"/>
    <d v="2024-11-04T00:00:00"/>
    <s v="Valid Date"/>
    <s v="On time delivery"/>
    <s v="Delivered"/>
    <x v="1"/>
    <m/>
    <x v="2"/>
    <s v="Not Returned"/>
    <s v="Not returned"/>
    <s v="Not Applicable"/>
  </r>
  <r>
    <x v="94"/>
    <x v="24"/>
    <s v="Valid Q4"/>
    <s v="CUST_10099"/>
    <x v="0"/>
    <s v="BOT-CUT-M"/>
    <x v="3"/>
    <s v="Culottes"/>
    <n v="1699"/>
    <n v="1"/>
    <s v="Valid Quantity"/>
    <n v="1699"/>
    <x v="15"/>
    <m/>
    <n v="0"/>
    <n v="0"/>
    <x v="0"/>
    <x v="0"/>
    <s v="Noida"/>
    <s v="Uttar Pradesh"/>
    <s v="Delhi"/>
    <d v="2024-11-07T00:00:00"/>
    <s v="Valid Date"/>
    <s v="On time delivery"/>
    <s v="Delivered"/>
    <x v="0"/>
    <s v="Size Issue"/>
    <x v="27"/>
    <s v="Returned"/>
    <s v="Valid"/>
    <s v="Processed"/>
  </r>
  <r>
    <x v="95"/>
    <x v="24"/>
    <s v="Valid Q4"/>
    <s v="CUST_10100"/>
    <x v="0"/>
    <s v="DRS-MXI-L"/>
    <x v="2"/>
    <s v="Maxi Dress"/>
    <n v="2799"/>
    <n v="1"/>
    <s v="Valid Quantity"/>
    <n v="2799"/>
    <x v="69"/>
    <s v="FLAT10"/>
    <n v="10"/>
    <n v="279.89999999999998"/>
    <x v="1"/>
    <x v="1"/>
    <s v="Gurgaon"/>
    <s v="Haryana"/>
    <s v="Delhi"/>
    <d v="2024-11-06T00:00:00"/>
    <s v="Valid Date"/>
    <s v="On time delivery"/>
    <s v="Delivered"/>
    <x v="1"/>
    <m/>
    <x v="2"/>
    <s v="Not Returned"/>
    <s v="Not returned"/>
    <s v="Not Applicable"/>
  </r>
  <r>
    <x v="96"/>
    <x v="24"/>
    <s v="Valid Q4"/>
    <s v="CUST_10101"/>
    <x v="1"/>
    <s v="TOP-SLV-S"/>
    <x v="1"/>
    <s v="Sleeveless Top"/>
    <n v="1199"/>
    <n v="2"/>
    <s v="Valid Quantity"/>
    <n v="2398"/>
    <x v="51"/>
    <m/>
    <n v="0"/>
    <n v="0"/>
    <x v="3"/>
    <x v="2"/>
    <s v="Indore"/>
    <s v="Madhya Pradesh"/>
    <s v="Mumbai"/>
    <d v="2024-11-05T00:00:00"/>
    <s v="Valid Date"/>
    <s v="On time delivery"/>
    <s v="Delivered"/>
    <x v="0"/>
    <s v="Quality Defect"/>
    <x v="28"/>
    <s v="Returned"/>
    <s v="Valid"/>
    <s v="Processed"/>
  </r>
  <r>
    <x v="97"/>
    <x v="24"/>
    <s v="Valid Q4"/>
    <s v="CUST_10102"/>
    <x v="0"/>
    <s v="OUT-CPE-M"/>
    <x v="0"/>
    <s v="Cape Coat"/>
    <n v="5999"/>
    <n v="1"/>
    <s v="Valid Quantity"/>
    <n v="5999"/>
    <x v="70"/>
    <m/>
    <n v="0"/>
    <n v="0"/>
    <x v="1"/>
    <x v="0"/>
    <s v="Surat"/>
    <s v="Gujarat"/>
    <s v="Mumbai"/>
    <d v="2024-11-08T00:00:00"/>
    <s v="Valid Date"/>
    <s v="On time delivery"/>
    <s v="Delivered"/>
    <x v="1"/>
    <m/>
    <x v="2"/>
    <s v="Not Returned"/>
    <s v="Not returned"/>
    <s v="Not Applicable"/>
  </r>
  <r>
    <x v="98"/>
    <x v="25"/>
    <s v="Valid Q4"/>
    <s v="CUST_10103"/>
    <x v="0"/>
    <s v="ACC-SHD-OS"/>
    <x v="4"/>
    <s v="Shoulder Bag"/>
    <n v="1799"/>
    <n v="1"/>
    <s v="Valid Quantity"/>
    <n v="1799"/>
    <x v="71"/>
    <s v="DIWALI20"/>
    <n v="20"/>
    <n v="359.8"/>
    <x v="2"/>
    <x v="1"/>
    <s v="Patna"/>
    <s v="Bihar"/>
    <s v="Delhi"/>
    <m/>
    <s v="Not Delivered"/>
    <s v="Not delivered"/>
    <s v="RTO"/>
    <x v="1"/>
    <m/>
    <x v="2"/>
    <s v="Not Delivered"/>
    <s v="Not returned"/>
    <s v="Not Applicable"/>
  </r>
  <r>
    <x v="99"/>
    <x v="25"/>
    <s v="Valid Q4"/>
    <s v="CUST_10104"/>
    <x v="0"/>
    <s v="BOT-STR-L"/>
    <x v="3"/>
    <s v="Straight Pants"/>
    <n v="1999"/>
    <n v="1"/>
    <s v="Valid Quantity"/>
    <n v="1999"/>
    <x v="72"/>
    <m/>
    <n v="0"/>
    <n v="0"/>
    <x v="4"/>
    <x v="2"/>
    <s v="Bhopal"/>
    <s v="Madhya Pradesh"/>
    <s v="Mumbai"/>
    <d v="2024-11-07T00:00:00"/>
    <s v="Valid Date"/>
    <s v="On time delivery"/>
    <s v="Delivered"/>
    <x v="0"/>
    <s v="Wrong Item"/>
    <x v="29"/>
    <s v="Returned"/>
    <s v="Valid"/>
    <s v="Processed"/>
  </r>
  <r>
    <x v="100"/>
    <x v="25"/>
    <s v="Valid Q4"/>
    <s v="CUST_10105"/>
    <x v="1"/>
    <s v="DRS-FIT-S"/>
    <x v="2"/>
    <s v="Fit &amp; Flare Dress"/>
    <n v="2499"/>
    <n v="1"/>
    <s v="Valid Quantity"/>
    <n v="2499"/>
    <x v="7"/>
    <m/>
    <n v="0"/>
    <n v="0"/>
    <x v="0"/>
    <x v="0"/>
    <s v="Nagpur"/>
    <s v="Maharashtra"/>
    <s v="Mumbai"/>
    <d v="2024-11-08T00:00:00"/>
    <s v="Valid Date"/>
    <s v="On time delivery"/>
    <s v="Delivered"/>
    <x v="1"/>
    <m/>
    <x v="2"/>
    <s v="Not Returned"/>
    <s v="Not returned"/>
    <s v="Not Applicable"/>
  </r>
  <r>
    <x v="101"/>
    <x v="25"/>
    <s v="Valid Q4"/>
    <s v="CUST_10106"/>
    <x v="0"/>
    <s v="TOP-CWL-M"/>
    <x v="1"/>
    <s v="Cowl Neck Top"/>
    <n v="1599"/>
    <n v="1"/>
    <s v="Valid Quantity"/>
    <n v="1599"/>
    <x v="73"/>
    <s v="FIRST15"/>
    <n v="15"/>
    <n v="239.85"/>
    <x v="3"/>
    <x v="1"/>
    <s v="Coimbatore"/>
    <s v="Tamil Nadu"/>
    <s v="Bangalore"/>
    <d v="2024-11-06T00:00:00"/>
    <s v="Valid Date"/>
    <s v="On time delivery"/>
    <s v="Delivered"/>
    <x v="0"/>
    <s v="Size Issue"/>
    <x v="26"/>
    <s v="Returned"/>
    <s v="Valid"/>
    <s v="Processed"/>
  </r>
  <r>
    <x v="102"/>
    <x v="26"/>
    <s v="Valid Q4"/>
    <s v="CUST_10107"/>
    <x v="0"/>
    <s v="OUT-BLR-L"/>
    <x v="0"/>
    <s v="Blazer"/>
    <n v="3999"/>
    <n v="1"/>
    <s v="Valid Quantity"/>
    <n v="3999"/>
    <x v="74"/>
    <m/>
    <n v="0"/>
    <n v="0"/>
    <x v="1"/>
    <x v="2"/>
    <s v="Kochi"/>
    <s v="Kerala"/>
    <s v="Bangalore"/>
    <d v="2024-11-09T00:00:00"/>
    <s v="Valid Date"/>
    <s v="On time delivery"/>
    <s v="Delivered"/>
    <x v="1"/>
    <m/>
    <x v="2"/>
    <s v="Not Returned"/>
    <s v="Not returned"/>
    <s v="Not Applicable"/>
  </r>
  <r>
    <x v="103"/>
    <x v="26"/>
    <s v="Valid Q4"/>
    <s v="CUST_10108"/>
    <x v="0"/>
    <s v="ACC-CFF-OS"/>
    <x v="4"/>
    <s v="Cuff Bracelet"/>
    <n v="599"/>
    <n v="2"/>
    <s v="Valid Quantity"/>
    <n v="1198"/>
    <x v="75"/>
    <m/>
    <n v="0"/>
    <n v="0"/>
    <x v="2"/>
    <x v="0"/>
    <s v="Vizag"/>
    <s v="Andhra Pradesh"/>
    <s v="Bangalore"/>
    <d v="2024-11-07T00:00:00"/>
    <s v="Valid Date"/>
    <s v="On time delivery"/>
    <s v="Delivered"/>
    <x v="0"/>
    <s v="Damaged in Transit"/>
    <x v="27"/>
    <s v="Returned"/>
    <s v="Valid"/>
    <s v="Processed"/>
  </r>
  <r>
    <x v="104"/>
    <x v="26"/>
    <s v="Valid Q4"/>
    <s v="CUST_10109"/>
    <x v="1"/>
    <s v="BOT-HRM-M"/>
    <x v="3"/>
    <s v="Harem Pants"/>
    <n v="1799"/>
    <n v="1"/>
    <s v="Valid Quantity"/>
    <n v="1799"/>
    <x v="71"/>
    <s v="DIWALI20"/>
    <n v="20"/>
    <n v="359.8"/>
    <x v="3"/>
    <x v="1"/>
    <s v="Thiruvananthapuram"/>
    <s v="Kerala"/>
    <s v="Bangalore"/>
    <d v="2024-11-08T00:00:00"/>
    <s v="Valid Date"/>
    <s v="On time delivery"/>
    <s v="Delivered"/>
    <x v="1"/>
    <m/>
    <x v="2"/>
    <s v="Not Returned"/>
    <s v="Not returned"/>
    <s v="Not Applicable"/>
  </r>
  <r>
    <x v="105"/>
    <x v="27"/>
    <s v="Valid Q4"/>
    <s v="CUST_10110"/>
    <x v="0"/>
    <s v="DRS-FES-M"/>
    <x v="2"/>
    <s v="Festive Kurta Set"/>
    <n v="3499"/>
    <n v="1"/>
    <s v="Valid Quantity"/>
    <n v="3499"/>
    <x v="76"/>
    <s v="DIWALI40"/>
    <n v="40"/>
    <n v="1399.6"/>
    <x v="1"/>
    <x v="2"/>
    <s v="Delhi"/>
    <s v="Delhi"/>
    <s v="Delhi"/>
    <d v="2024-11-02T00:00:00"/>
    <s v="Valid Date"/>
    <s v="On time delivery"/>
    <s v="Delivered"/>
    <x v="0"/>
    <s v="Size Issue"/>
    <x v="14"/>
    <s v="Returned"/>
    <s v="Valid"/>
    <s v="Processed"/>
  </r>
  <r>
    <x v="106"/>
    <x v="27"/>
    <s v="Valid Q4"/>
    <s v="CUST_10111"/>
    <x v="0"/>
    <s v="OUT-ETH-L"/>
    <x v="0"/>
    <s v="Embroidered Jacket"/>
    <n v="5999"/>
    <n v="1"/>
    <s v="Valid Quantity"/>
    <n v="5999"/>
    <x v="77"/>
    <s v="DIWALI40"/>
    <n v="40"/>
    <n v="2399.6"/>
    <x v="2"/>
    <x v="1"/>
    <s v="Mumbai"/>
    <s v="Maharashtra"/>
    <s v="Mumbai"/>
    <d v="2024-11-03T00:00:00"/>
    <s v="Valid Date"/>
    <s v="On time delivery"/>
    <s v="Delivered"/>
    <x v="0"/>
    <s v="Wrong Item"/>
    <x v="16"/>
    <s v="Returned"/>
    <s v="Valid"/>
    <s v="Processed"/>
  </r>
  <r>
    <x v="107"/>
    <x v="27"/>
    <s v="Valid Q4"/>
    <s v="CUST_10112"/>
    <x v="0"/>
    <s v="TOP-FES-S"/>
    <x v="1"/>
    <s v="Festive Blouse"/>
    <n v="2299"/>
    <n v="2"/>
    <s v="Valid Quantity"/>
    <n v="4598"/>
    <x v="78"/>
    <s v="DIWALI40"/>
    <n v="40"/>
    <n v="1839.2"/>
    <x v="3"/>
    <x v="0"/>
    <s v="Jaipur"/>
    <s v="Rajasthan"/>
    <s v="Delhi"/>
    <d v="2024-11-04T00:00:00"/>
    <s v="Valid Date"/>
    <s v="On time delivery"/>
    <s v="Delivered"/>
    <x v="0"/>
    <s v="Size Issue"/>
    <x v="17"/>
    <s v="Returned"/>
    <s v="Valid"/>
    <s v="Processed"/>
  </r>
  <r>
    <x v="108"/>
    <x v="27"/>
    <s v="Valid Q4"/>
    <s v="CUST_10113"/>
    <x v="1"/>
    <s v="ACC-CLT-OS"/>
    <x v="4"/>
    <s v="Festive Clutch"/>
    <n v="1599"/>
    <n v="1"/>
    <s v="Valid Quantity"/>
    <n v="1599"/>
    <x v="79"/>
    <s v="DIWALI40"/>
    <n v="40"/>
    <n v="639.6"/>
    <x v="1"/>
    <x v="2"/>
    <s v="Lucknow"/>
    <s v="Uttar Pradesh"/>
    <s v="Delhi"/>
    <d v="2024-11-03T00:00:00"/>
    <s v="Valid Date"/>
    <s v="On time delivery"/>
    <s v="Delivered"/>
    <x v="1"/>
    <m/>
    <x v="2"/>
    <s v="Not Returned"/>
    <s v="Not returned"/>
    <s v="Not Applicable"/>
  </r>
  <r>
    <x v="109"/>
    <x v="27"/>
    <s v="Valid Q4"/>
    <s v="CUST_10114"/>
    <x v="0"/>
    <s v="BOT-ETH-M"/>
    <x v="3"/>
    <s v="Palazzo Pants"/>
    <n v="1899"/>
    <n v="1"/>
    <s v="Valid Quantity"/>
    <n v="1899"/>
    <x v="80"/>
    <s v="DIWALI40"/>
    <n v="40"/>
    <n v="759.6"/>
    <x v="2"/>
    <x v="1"/>
    <s v="Chennai"/>
    <s v="Tamil Nadu"/>
    <s v="Bangalore"/>
    <m/>
    <s v="Not Delivered"/>
    <s v="Not delivered"/>
    <s v="RTO"/>
    <x v="1"/>
    <m/>
    <x v="2"/>
    <s v="Not Delivered"/>
    <s v="Not returned"/>
    <s v="Not Applicable"/>
  </r>
  <r>
    <x v="110"/>
    <x v="28"/>
    <s v="Valid Q4"/>
    <s v="CUST_10115"/>
    <x v="0"/>
    <s v="DRS-ANK-S"/>
    <x v="2"/>
    <s v="Anarkali Dress"/>
    <n v="4299"/>
    <n v="1"/>
    <s v="Valid Quantity"/>
    <n v="4299"/>
    <x v="81"/>
    <s v="DIWALI40"/>
    <n v="40"/>
    <n v="1719.6"/>
    <x v="0"/>
    <x v="2"/>
    <s v="Hyderabad"/>
    <s v="Telangana"/>
    <s v="Bangalore"/>
    <d v="2024-11-05T00:00:00"/>
    <s v="Valid Date"/>
    <s v="On time delivery"/>
    <s v="Delivered"/>
    <x v="0"/>
    <s v="Quality Defect"/>
    <x v="19"/>
    <s v="Returned"/>
    <s v="Valid"/>
    <s v="Processed"/>
  </r>
  <r>
    <x v="111"/>
    <x v="28"/>
    <s v="Valid Q4"/>
    <s v="CUST_10116"/>
    <x v="0"/>
    <s v="TOP-ETH-M"/>
    <x v="1"/>
    <s v="Embroidered Kurti"/>
    <n v="2599"/>
    <n v="1"/>
    <s v="Valid Quantity"/>
    <n v="2599"/>
    <x v="82"/>
    <s v="DIWALI40"/>
    <n v="40"/>
    <n v="1039.5999999999999"/>
    <x v="3"/>
    <x v="0"/>
    <s v="Pune"/>
    <s v="Maharashtra"/>
    <s v="Mumbai"/>
    <d v="2024-11-06T00:00:00"/>
    <s v="Valid Date"/>
    <s v="On time delivery"/>
    <s v="Delivered"/>
    <x v="0"/>
    <s v="Changed Mind"/>
    <x v="21"/>
    <s v="Returned"/>
    <s v="Valid"/>
    <s v="Pending"/>
  </r>
  <r>
    <x v="112"/>
    <x v="28"/>
    <s v="Valid Q4"/>
    <s v="CUST_10117"/>
    <x v="0"/>
    <s v="OUT-SHW-L"/>
    <x v="0"/>
    <s v="Pashmina Shawl"/>
    <n v="3999"/>
    <n v="1"/>
    <s v="Valid Quantity"/>
    <n v="3999"/>
    <x v="83"/>
    <s v="DIWALI40"/>
    <n v="40"/>
    <n v="1599.6"/>
    <x v="1"/>
    <x v="1"/>
    <s v="Amritsar"/>
    <s v="Punjab"/>
    <s v="Delhi"/>
    <d v="2024-11-07T00:00:00"/>
    <s v="Valid Date"/>
    <s v="On time delivery"/>
    <s v="Delivered"/>
    <x v="0"/>
    <s v="Size Issue"/>
    <x v="23"/>
    <s v="Returned"/>
    <s v="Valid"/>
    <s v="Processed"/>
  </r>
  <r>
    <x v="113"/>
    <x v="28"/>
    <s v="Valid Q4"/>
    <s v="CUST_10118"/>
    <x v="1"/>
    <s v="DRS-LHG-M"/>
    <x v="2"/>
    <s v="Lehenga Set"/>
    <n v="8999"/>
    <n v="1"/>
    <s v="Valid Quantity"/>
    <n v="8999"/>
    <x v="84"/>
    <s v="DIWALI40"/>
    <n v="40"/>
    <n v="3599.6"/>
    <x v="1"/>
    <x v="2"/>
    <s v="Ahmedabad"/>
    <s v="Gujarat"/>
    <s v="Mumbai"/>
    <d v="2024-11-06T00:00:00"/>
    <s v="Valid Date"/>
    <s v="On time delivery"/>
    <s v="Delivered"/>
    <x v="0"/>
    <s v="Size Issue"/>
    <x v="25"/>
    <s v="Returned"/>
    <s v="Valid"/>
    <s v="Processed"/>
  </r>
  <r>
    <x v="114"/>
    <x v="28"/>
    <s v="Valid Q4"/>
    <s v="CUST_10119"/>
    <x v="0"/>
    <s v="ACC-STL-OS"/>
    <x v="4"/>
    <s v="Statement Necklace"/>
    <n v="1299"/>
    <n v="2"/>
    <s v="Valid Quantity"/>
    <n v="2598"/>
    <x v="85"/>
    <s v="DIWALI40"/>
    <n v="40"/>
    <n v="1039.2"/>
    <x v="2"/>
    <x v="0"/>
    <s v="Kolkata"/>
    <s v="West Bengal"/>
    <s v="Delhi"/>
    <d v="2024-11-08T00:00:00"/>
    <s v="Valid Date"/>
    <s v="On time delivery"/>
    <s v="Delivered"/>
    <x v="0"/>
    <s v="Damaged in Transit"/>
    <x v="22"/>
    <s v="Returned"/>
    <s v="Valid"/>
    <s v="Processed"/>
  </r>
  <r>
    <x v="115"/>
    <x v="28"/>
    <s v="Valid Q4"/>
    <s v="CUST_10120"/>
    <x v="0"/>
    <s v="TOP-SQN-S"/>
    <x v="1"/>
    <s v="Sequin Top"/>
    <n v="1999"/>
    <n v="1"/>
    <s v="Valid Quantity"/>
    <n v="1999"/>
    <x v="86"/>
    <s v="DIWALI40"/>
    <n v="40"/>
    <n v="799.6"/>
    <x v="3"/>
    <x v="1"/>
    <s v="Bangalore"/>
    <s v="Karnataka"/>
    <s v="Bangalore"/>
    <d v="2024-11-07T00:00:00"/>
    <s v="Valid Date"/>
    <s v="On time delivery"/>
    <s v="Delivered"/>
    <x v="0"/>
    <s v="Quality Defect"/>
    <x v="24"/>
    <s v="Returned"/>
    <s v="Valid"/>
    <s v="Processed"/>
  </r>
  <r>
    <x v="116"/>
    <x v="29"/>
    <s v="Valid Q4"/>
    <s v="CUST_10121"/>
    <x v="0"/>
    <s v="BOT-LHG-S"/>
    <x v="3"/>
    <s v="Lehenga Skirt"/>
    <n v="5499"/>
    <n v="1"/>
    <s v="Valid Quantity"/>
    <n v="5499"/>
    <x v="87"/>
    <s v="DIWALI40"/>
    <n v="40"/>
    <n v="2199.6"/>
    <x v="4"/>
    <x v="2"/>
    <s v="Surat"/>
    <s v="Gujarat"/>
    <s v="Mumbai"/>
    <d v="2024-11-08T00:00:00"/>
    <s v="Valid Date"/>
    <s v="On time delivery"/>
    <s v="Delivered"/>
    <x v="0"/>
    <s v="Size Issue"/>
    <x v="23"/>
    <s v="Returned"/>
    <s v="Valid"/>
    <s v="Processed"/>
  </r>
  <r>
    <x v="117"/>
    <x v="29"/>
    <s v="Valid Q4"/>
    <s v="CUST_10122"/>
    <x v="0"/>
    <s v="DRS-SAR-M"/>
    <x v="2"/>
    <s v="Saree Gown"/>
    <n v="6999"/>
    <n v="1"/>
    <s v="Valid Quantity"/>
    <n v="6999"/>
    <x v="88"/>
    <s v="DIWALI40"/>
    <n v="40"/>
    <n v="2799.6"/>
    <x v="1"/>
    <x v="0"/>
    <s v="Mumbai"/>
    <s v="Maharashtra"/>
    <s v="Mumbai"/>
    <d v="2024-11-09T00:00:00"/>
    <s v="Valid Date"/>
    <s v="On time delivery"/>
    <s v="Delivered"/>
    <x v="0"/>
    <s v="Size Issue"/>
    <x v="24"/>
    <s v="Returned"/>
    <s v="Valid"/>
    <s v="Processed"/>
  </r>
  <r>
    <x v="118"/>
    <x v="29"/>
    <s v="Valid Q4"/>
    <s v="CUST_10123"/>
    <x v="1"/>
    <s v="OUT-BLS-M"/>
    <x v="0"/>
    <s v="Brocade Blazer"/>
    <n v="4999"/>
    <n v="1"/>
    <s v="Valid Quantity"/>
    <n v="4999"/>
    <x v="89"/>
    <s v="DIWALI40"/>
    <n v="40"/>
    <n v="1999.6"/>
    <x v="0"/>
    <x v="1"/>
    <s v="Delhi"/>
    <s v="Delhi"/>
    <s v="Delhi"/>
    <d v="2024-11-10T00:00:00"/>
    <s v="Valid Date"/>
    <s v="On time delivery"/>
    <s v="Delivered"/>
    <x v="1"/>
    <m/>
    <x v="2"/>
    <s v="Not Returned"/>
    <s v="Not returned"/>
    <s v="Not Applicable"/>
  </r>
  <r>
    <x v="119"/>
    <x v="29"/>
    <s v="Valid Q4"/>
    <s v="CUST_10124"/>
    <x v="0"/>
    <s v="ACC-MNG-OS"/>
    <x v="4"/>
    <s v="Maang Tikka Set"/>
    <n v="899"/>
    <n v="1"/>
    <s v="Valid Quantity"/>
    <n v="899"/>
    <x v="90"/>
    <s v="DIWALI40"/>
    <n v="40"/>
    <n v="359.6"/>
    <x v="3"/>
    <x v="2"/>
    <s v="Varanasi"/>
    <s v="Uttar Pradesh"/>
    <s v="Delhi"/>
    <d v="2024-11-10T00:00:00"/>
    <s v="Valid Date"/>
    <s v="On time delivery"/>
    <s v="Delivered"/>
    <x v="1"/>
    <m/>
    <x v="2"/>
    <s v="Not Returned"/>
    <s v="Not returned"/>
    <s v="Not Applicable"/>
  </r>
  <r>
    <x v="120"/>
    <x v="29"/>
    <s v="Valid Q4"/>
    <s v="CUST_10125"/>
    <x v="0"/>
    <s v="TOP-ZAR-L"/>
    <x v="1"/>
    <s v="Zardozi Blouse"/>
    <n v="3299"/>
    <n v="1"/>
    <s v="Valid Quantity"/>
    <n v="3299"/>
    <x v="91"/>
    <s v="DIWALI40"/>
    <n v="40"/>
    <n v="1319.6"/>
    <x v="2"/>
    <x v="0"/>
    <s v="Jaipur"/>
    <s v="Rajasthan"/>
    <s v="Delhi"/>
    <d v="2024-11-12T00:00:00"/>
    <s v="Valid Date"/>
    <s v="On time delivery"/>
    <s v="Delivered"/>
    <x v="0"/>
    <s v="Wrong Item"/>
    <x v="26"/>
    <s v="Returned"/>
    <s v="Valid"/>
    <s v="Pending"/>
  </r>
  <r>
    <x v="121"/>
    <x v="30"/>
    <s v="Valid Q4"/>
    <s v="CUST_10126"/>
    <x v="0"/>
    <s v="DRS-FES-L"/>
    <x v="2"/>
    <s v="Festive Gown"/>
    <n v="7499"/>
    <n v="1"/>
    <s v="Valid Quantity"/>
    <n v="7499"/>
    <x v="92"/>
    <s v="DIWALI40"/>
    <n v="40"/>
    <n v="2999.6"/>
    <x v="1"/>
    <x v="2"/>
    <s v="Lucknow"/>
    <s v="Uttar Pradesh"/>
    <s v="Delhi"/>
    <d v="2024-11-11T00:00:00"/>
    <s v="Valid Date"/>
    <s v="On time delivery"/>
    <s v="Delivered"/>
    <x v="0"/>
    <s v="Size Issue"/>
    <x v="28"/>
    <s v="Returned"/>
    <s v="Valid"/>
    <s v="Processed"/>
  </r>
  <r>
    <x v="122"/>
    <x v="30"/>
    <s v="Valid Q4"/>
    <s v="CUST_10127"/>
    <x v="0"/>
    <s v="BOT-SLK-M"/>
    <x v="3"/>
    <s v="Silk Pants"/>
    <n v="3299"/>
    <n v="1"/>
    <s v="Valid Quantity"/>
    <n v="3299"/>
    <x v="91"/>
    <s v="DIWALI40"/>
    <n v="40"/>
    <n v="1319.6"/>
    <x v="3"/>
    <x v="1"/>
    <s v="Chandigarh"/>
    <s v="Punjab"/>
    <s v="Delhi"/>
    <d v="2024-11-12T00:00:00"/>
    <s v="Valid Date"/>
    <s v="On time delivery"/>
    <s v="Delivered"/>
    <x v="0"/>
    <s v="Changed Mind"/>
    <x v="27"/>
    <s v="Returned"/>
    <s v="Valid"/>
    <s v="Processed"/>
  </r>
  <r>
    <x v="123"/>
    <x v="30"/>
    <s v="Valid Q4"/>
    <s v="CUST_10128"/>
    <x v="1"/>
    <s v="OUT-VLV-L"/>
    <x v="0"/>
    <s v="Velvet Jacket"/>
    <n v="5499"/>
    <n v="1"/>
    <s v="Valid Quantity"/>
    <n v="5499"/>
    <x v="87"/>
    <s v="DIWALI40"/>
    <n v="40"/>
    <n v="2199.6"/>
    <x v="0"/>
    <x v="0"/>
    <s v="Noida"/>
    <s v="Uttar Pradesh"/>
    <s v="Delhi"/>
    <d v="2024-11-13T00:00:00"/>
    <s v="Valid Date"/>
    <s v="On time delivery"/>
    <s v="Delivered"/>
    <x v="0"/>
    <s v="Quality Defect"/>
    <x v="30"/>
    <s v="Returned"/>
    <s v="Valid"/>
    <s v="Processed"/>
  </r>
  <r>
    <x v="124"/>
    <x v="30"/>
    <s v="Valid Q4"/>
    <s v="CUST_10129"/>
    <x v="0"/>
    <s v="ACC-TKA-OS"/>
    <x v="4"/>
    <s v="Tikka Headpiece"/>
    <n v="1199"/>
    <n v="1"/>
    <s v="Valid Quantity"/>
    <n v="1199"/>
    <x v="93"/>
    <s v="DIWALI40"/>
    <n v="40"/>
    <n v="479.6"/>
    <x v="2"/>
    <x v="2"/>
    <s v="Gurgaon"/>
    <s v="Haryana"/>
    <s v="Delhi"/>
    <m/>
    <s v="Not Delivered"/>
    <s v="Not delivered"/>
    <s v="RTO"/>
    <x v="1"/>
    <m/>
    <x v="2"/>
    <s v="Not Delivered"/>
    <s v="Not returned"/>
    <s v="Not Applicable"/>
  </r>
  <r>
    <x v="125"/>
    <x v="30"/>
    <s v="Valid Q4"/>
    <s v="CUST_10130"/>
    <x v="0"/>
    <s v="TOP-GOT-S"/>
    <x v="1"/>
    <s v="Gota Patti Top"/>
    <n v="2799"/>
    <n v="1"/>
    <s v="Valid Quantity"/>
    <n v="2799"/>
    <x v="94"/>
    <s v="DIWALI40"/>
    <n v="40"/>
    <n v="1119.5999999999999"/>
    <x v="4"/>
    <x v="1"/>
    <s v="Indore"/>
    <s v="Madhya Pradesh"/>
    <s v="Mumbai"/>
    <d v="2024-11-12T00:00:00"/>
    <s v="Valid Date"/>
    <s v="On time delivery"/>
    <s v="Delivered"/>
    <x v="0"/>
    <s v="Size Issue"/>
    <x v="29"/>
    <s v="Returned"/>
    <s v="Valid"/>
    <s v="Processed"/>
  </r>
  <r>
    <x v="126"/>
    <x v="31"/>
    <s v="Valid Q4"/>
    <s v="CUST_10131"/>
    <x v="0"/>
    <s v="DRS-BND-M"/>
    <x v="2"/>
    <s v="Bandhani Dress"/>
    <n v="3899"/>
    <n v="1"/>
    <s v="Valid Quantity"/>
    <n v="3899"/>
    <x v="95"/>
    <s v="DIWALI40"/>
    <n v="40"/>
    <n v="1559.6"/>
    <x v="1"/>
    <x v="0"/>
    <s v="Surat"/>
    <s v="Gujarat"/>
    <s v="Mumbai"/>
    <d v="2024-11-10T00:00:00"/>
    <s v="Valid Date"/>
    <s v="On time delivery"/>
    <s v="Delivered"/>
    <x v="0"/>
    <s v="Wrong Item"/>
    <x v="26"/>
    <s v="Returned"/>
    <s v="Valid"/>
    <s v="Processed"/>
  </r>
  <r>
    <x v="127"/>
    <x v="31"/>
    <s v="Valid Q4"/>
    <s v="CUST_10132"/>
    <x v="0"/>
    <s v="BOT-BRC-L"/>
    <x v="3"/>
    <s v="Brocade Pants"/>
    <n v="2999"/>
    <n v="1"/>
    <s v="Valid Quantity"/>
    <n v="2999"/>
    <x v="96"/>
    <s v="DIWALI40"/>
    <n v="40"/>
    <n v="1199.5999999999999"/>
    <x v="3"/>
    <x v="2"/>
    <s v="Patna"/>
    <s v="Bihar"/>
    <s v="Delhi"/>
    <d v="2024-11-11T00:00:00"/>
    <s v="Valid Date"/>
    <s v="On time delivery"/>
    <s v="Delivered"/>
    <x v="1"/>
    <m/>
    <x v="2"/>
    <s v="Not Returned"/>
    <s v="Not returned"/>
    <s v="Not Applicable"/>
  </r>
  <r>
    <x v="128"/>
    <x v="31"/>
    <s v="Valid Q4"/>
    <s v="CUST_10133"/>
    <x v="1"/>
    <s v="OUT-ZRI-M"/>
    <x v="0"/>
    <s v="Zari Work Jacket"/>
    <n v="6499"/>
    <n v="1"/>
    <s v="Valid Quantity"/>
    <n v="6499"/>
    <x v="97"/>
    <s v="DIWALI40"/>
    <n v="40"/>
    <n v="2599.6"/>
    <x v="1"/>
    <x v="1"/>
    <s v="Bhopal"/>
    <s v="Madhya Pradesh"/>
    <s v="Mumbai"/>
    <d v="2024-11-13T00:00:00"/>
    <s v="Valid Date"/>
    <s v="On time delivery"/>
    <s v="Delivered"/>
    <x v="0"/>
    <s v="Size Issue"/>
    <x v="31"/>
    <s v="Returned"/>
    <s v="Valid"/>
    <s v="Processed"/>
  </r>
  <r>
    <x v="129"/>
    <x v="31"/>
    <s v="Valid Q4"/>
    <s v="CUST_10134"/>
    <x v="0"/>
    <s v="ACC-JHM-OS"/>
    <x v="4"/>
    <s v="Jhumka Earrings"/>
    <n v="999"/>
    <n v="2"/>
    <s v="Valid Quantity"/>
    <n v="1998"/>
    <x v="98"/>
    <s v="DIWALI40"/>
    <n v="40"/>
    <n v="799.2"/>
    <x v="0"/>
    <x v="0"/>
    <s v="Nagpur"/>
    <s v="Maharashtra"/>
    <s v="Mumbai"/>
    <d v="2024-11-11T00:00:00"/>
    <s v="Valid Date"/>
    <s v="On time delivery"/>
    <s v="Delivered"/>
    <x v="1"/>
    <m/>
    <x v="2"/>
    <s v="Not Returned"/>
    <s v="Not returned"/>
    <s v="Not Applicable"/>
  </r>
  <r>
    <x v="130"/>
    <x v="32"/>
    <s v="Valid Q4"/>
    <s v="CUST_10135"/>
    <x v="0"/>
    <s v="TOP-MRR-S"/>
    <x v="1"/>
    <s v="Mirror Work Top"/>
    <n v="2499"/>
    <n v="1"/>
    <s v="Valid Quantity"/>
    <n v="2499"/>
    <x v="99"/>
    <s v="DIWALI40"/>
    <n v="40"/>
    <n v="999.6"/>
    <x v="2"/>
    <x v="2"/>
    <s v="Coimbatore"/>
    <s v="Tamil Nadu"/>
    <s v="Bangalore"/>
    <d v="2024-11-12T00:00:00"/>
    <s v="Valid Date"/>
    <s v="On time delivery"/>
    <s v="Delivered"/>
    <x v="0"/>
    <s v="Quality Defect"/>
    <x v="30"/>
    <s v="Returned"/>
    <s v="Valid"/>
    <s v="Processed"/>
  </r>
  <r>
    <x v="131"/>
    <x v="32"/>
    <s v="Valid Q4"/>
    <s v="CUST_10136"/>
    <x v="0"/>
    <s v="DRS-PTL-M"/>
    <x v="2"/>
    <s v="Patiala Suit"/>
    <n v="4599"/>
    <n v="1"/>
    <s v="Valid Quantity"/>
    <n v="4599"/>
    <x v="100"/>
    <s v="DIWALI40"/>
    <n v="40"/>
    <n v="1839.6"/>
    <x v="3"/>
    <x v="1"/>
    <s v="Kochi"/>
    <s v="Kerala"/>
    <s v="Bangalore"/>
    <d v="2024-11-14T00:00:00"/>
    <s v="Valid Date"/>
    <s v="On time delivery"/>
    <s v="Delivered"/>
    <x v="0"/>
    <s v="Size Issue"/>
    <x v="32"/>
    <s v="Returned"/>
    <s v="Valid"/>
    <s v="Processed"/>
  </r>
  <r>
    <x v="132"/>
    <x v="32"/>
    <s v="Valid Q4"/>
    <s v="CUST_10137"/>
    <x v="0"/>
    <s v="BOT-DHT-L"/>
    <x v="3"/>
    <s v="Dhoti Pants"/>
    <n v="1799"/>
    <n v="1"/>
    <s v="Valid Quantity"/>
    <n v="1799"/>
    <x v="101"/>
    <s v="DIWALI40"/>
    <n v="40"/>
    <n v="719.6"/>
    <x v="1"/>
    <x v="0"/>
    <s v="Vizag"/>
    <s v="Andhra Pradesh"/>
    <s v="Bangalore"/>
    <d v="2024-11-13T00:00:00"/>
    <s v="Valid Date"/>
    <s v="On time delivery"/>
    <s v="Delivered"/>
    <x v="1"/>
    <m/>
    <x v="2"/>
    <s v="Not Returned"/>
    <s v="Not returned"/>
    <s v="Not Applicable"/>
  </r>
  <r>
    <x v="133"/>
    <x v="32"/>
    <s v="Valid Q4"/>
    <s v="CUST_10138"/>
    <x v="1"/>
    <s v="OUT-KTN-M"/>
    <x v="0"/>
    <s v="Katan Silk Jacket"/>
    <n v="7999"/>
    <n v="1"/>
    <s v="Valid Quantity"/>
    <n v="7999"/>
    <x v="102"/>
    <s v="DIWALI40"/>
    <n v="40"/>
    <n v="3199.6"/>
    <x v="4"/>
    <x v="2"/>
    <s v="Thiruvananthapuram"/>
    <s v="Kerala"/>
    <s v="Bangalore"/>
    <d v="2024-11-15T00:00:00"/>
    <s v="Valid Date"/>
    <s v="On time delivery"/>
    <s v="Delivered"/>
    <x v="0"/>
    <s v="Changed Mind"/>
    <x v="33"/>
    <s v="Returned"/>
    <s v="Valid"/>
    <s v="Processed"/>
  </r>
  <r>
    <x v="134"/>
    <x v="33"/>
    <s v="Valid Q4"/>
    <s v="CUST_10139"/>
    <x v="0"/>
    <s v="ACC-KDN-OS"/>
    <x v="4"/>
    <s v="Kundan Set"/>
    <n v="2499"/>
    <n v="1"/>
    <s v="Valid Quantity"/>
    <n v="2499"/>
    <x v="99"/>
    <s v="DIWALI40"/>
    <n v="40"/>
    <n v="999.6"/>
    <x v="0"/>
    <x v="1"/>
    <s v="Mysore"/>
    <s v="Karnataka"/>
    <s v="Bangalore"/>
    <d v="2024-11-14T00:00:00"/>
    <s v="Valid Date"/>
    <s v="On time delivery"/>
    <s v="Delivered"/>
    <x v="0"/>
    <s v="Damaged in Transit"/>
    <x v="32"/>
    <s v="Returned"/>
    <s v="Valid"/>
    <s v="Processed"/>
  </r>
  <r>
    <x v="135"/>
    <x v="33"/>
    <s v="Valid Q4"/>
    <s v="CUST_10140"/>
    <x v="0"/>
    <s v="TOP-CHK-L"/>
    <x v="1"/>
    <s v="Chikankari Top"/>
    <n v="2299"/>
    <n v="1"/>
    <s v="Valid Quantity"/>
    <n v="2299"/>
    <x v="103"/>
    <s v="DIWALI40"/>
    <n v="40"/>
    <n v="919.6"/>
    <x v="3"/>
    <x v="0"/>
    <s v="Vadodara"/>
    <s v="Gujarat"/>
    <s v="Mumbai"/>
    <d v="2024-11-15T00:00:00"/>
    <s v="Valid Date"/>
    <s v="On time delivery"/>
    <s v="Delivered"/>
    <x v="0"/>
    <s v="Size Issue"/>
    <x v="34"/>
    <s v="Returned"/>
    <s v="Valid"/>
    <s v="Processed"/>
  </r>
  <r>
    <x v="136"/>
    <x v="33"/>
    <s v="Valid Q4"/>
    <s v="CUST_10141"/>
    <x v="0"/>
    <s v="DRS-SHR-S"/>
    <x v="2"/>
    <s v="Sharara Set"/>
    <n v="5999"/>
    <n v="1"/>
    <s v="Valid Quantity"/>
    <n v="5999"/>
    <x v="77"/>
    <s v="DIWALI40"/>
    <n v="40"/>
    <n v="2399.6"/>
    <x v="1"/>
    <x v="2"/>
    <s v="Rajkot"/>
    <s v="Gujarat"/>
    <s v="Mumbai"/>
    <d v="2024-11-16T00:00:00"/>
    <s v="Valid Date"/>
    <s v="On time delivery"/>
    <s v="Delivered"/>
    <x v="0"/>
    <s v="Wrong Item"/>
    <x v="35"/>
    <s v="Returned"/>
    <s v="Valid"/>
    <s v="Processed"/>
  </r>
  <r>
    <x v="137"/>
    <x v="33"/>
    <s v="Valid Q4"/>
    <s v="CUST_10142"/>
    <x v="1"/>
    <s v="BOT-GRR-M"/>
    <x v="3"/>
    <s v="Gharara Pants"/>
    <n v="2599"/>
    <n v="1"/>
    <s v="Valid Quantity"/>
    <n v="2599"/>
    <x v="82"/>
    <s v="DIWALI40"/>
    <n v="40"/>
    <n v="1039.5999999999999"/>
    <x v="2"/>
    <x v="1"/>
    <s v="Kanpur"/>
    <s v="Uttar Pradesh"/>
    <s v="Delhi"/>
    <d v="2024-11-15T00:00:00"/>
    <s v="Valid Date"/>
    <s v="On time delivery"/>
    <s v="Delivered"/>
    <x v="1"/>
    <m/>
    <x v="2"/>
    <s v="Not Returned"/>
    <s v="Not returned"/>
    <s v="Not Applicable"/>
  </r>
  <r>
    <x v="138"/>
    <x v="34"/>
    <s v="Valid Q4"/>
    <s v="CUST_10143"/>
    <x v="0"/>
    <s v="OUT-PHU-L"/>
    <x v="0"/>
    <s v="Phulkari Jacket"/>
    <n v="4299"/>
    <n v="1"/>
    <s v="Valid Quantity"/>
    <n v="4299"/>
    <x v="81"/>
    <s v="DIWALI40"/>
    <n v="40"/>
    <n v="1719.6"/>
    <x v="1"/>
    <x v="0"/>
    <s v="Mumbai"/>
    <s v="Maharashtra"/>
    <s v="Mumbai"/>
    <d v="2024-11-17T00:00:00"/>
    <s v="Valid Date"/>
    <s v="On time delivery"/>
    <s v="Delivered"/>
    <x v="0"/>
    <s v="Quality Defect"/>
    <x v="36"/>
    <s v="Returned"/>
    <s v="Valid"/>
    <s v="Processed"/>
  </r>
  <r>
    <x v="139"/>
    <x v="34"/>
    <s v="Valid Q4"/>
    <s v="CUST_10144"/>
    <x v="0"/>
    <s v="ACC-MNP-OS"/>
    <x v="4"/>
    <s v="Mang Patti"/>
    <n v="799"/>
    <n v="1"/>
    <s v="Valid Quantity"/>
    <n v="799"/>
    <x v="104"/>
    <s v="DIWALI40"/>
    <n v="40"/>
    <n v="319.60000000000002"/>
    <x v="3"/>
    <x v="2"/>
    <s v="Delhi"/>
    <s v="Delhi"/>
    <s v="Delhi"/>
    <d v="2024-11-16T00:00:00"/>
    <s v="Valid Date"/>
    <s v="On time delivery"/>
    <s v="Delivered"/>
    <x v="1"/>
    <m/>
    <x v="2"/>
    <s v="Not Returned"/>
    <s v="Not returned"/>
    <s v="Not Applicable"/>
  </r>
  <r>
    <x v="140"/>
    <x v="34"/>
    <s v="Valid Q4"/>
    <s v="CUST_10145"/>
    <x v="0"/>
    <s v="TOP-BND-S"/>
    <x v="1"/>
    <s v="Bandhej Top"/>
    <n v="1899"/>
    <n v="1"/>
    <s v="Valid Quantity"/>
    <n v="1899"/>
    <x v="80"/>
    <s v="DIWALI40"/>
    <n v="40"/>
    <n v="759.6"/>
    <x v="4"/>
    <x v="1"/>
    <s v="Kolkata"/>
    <s v="West Bengal"/>
    <s v="Delhi"/>
    <d v="2024-11-17T00:00:00"/>
    <s v="Valid Date"/>
    <s v="On time delivery"/>
    <s v="Delivered"/>
    <x v="0"/>
    <s v="Size Issue"/>
    <x v="35"/>
    <s v="Returned"/>
    <s v="Valid"/>
    <s v="Processed"/>
  </r>
  <r>
    <x v="141"/>
    <x v="35"/>
    <s v="Valid Q4"/>
    <s v="CUST_10146"/>
    <x v="0"/>
    <s v="DRS-LKH-M"/>
    <x v="2"/>
    <s v="Lucknowi Dress"/>
    <n v="4899"/>
    <n v="1"/>
    <s v="Valid Quantity"/>
    <n v="4899"/>
    <x v="105"/>
    <s v="DIWALI40"/>
    <n v="40"/>
    <n v="1959.6"/>
    <x v="0"/>
    <x v="0"/>
    <s v="Chennai"/>
    <s v="Tamil Nadu"/>
    <s v="Bangalore"/>
    <d v="2024-11-18T00:00:00"/>
    <s v="Valid Date"/>
    <s v="On time delivery"/>
    <s v="Delivered"/>
    <x v="0"/>
    <s v="Changed Mind"/>
    <x v="37"/>
    <s v="Returned"/>
    <s v="Valid"/>
    <s v="Processed"/>
  </r>
  <r>
    <x v="142"/>
    <x v="35"/>
    <s v="Valid Q4"/>
    <s v="CUST_10147"/>
    <x v="1"/>
    <s v="BOT-PTL-L"/>
    <x v="3"/>
    <s v="Patiala Pants"/>
    <n v="1499"/>
    <n v="1"/>
    <s v="Valid Quantity"/>
    <n v="1499"/>
    <x v="106"/>
    <s v="DIWALI40"/>
    <n v="40"/>
    <n v="599.6"/>
    <x v="1"/>
    <x v="2"/>
    <s v="Hyderabad"/>
    <s v="Telangana"/>
    <s v="Bangalore"/>
    <d v="2024-11-17T00:00:00"/>
    <s v="Valid Date"/>
    <s v="On time delivery"/>
    <s v="Delivered"/>
    <x v="1"/>
    <m/>
    <x v="2"/>
    <s v="Not Returned"/>
    <s v="Not returned"/>
    <s v="Not Applicable"/>
  </r>
  <r>
    <x v="143"/>
    <x v="35"/>
    <s v="Valid Q4"/>
    <s v="CUST_10148"/>
    <x v="0"/>
    <s v="OUT-KTH-M"/>
    <x v="0"/>
    <s v="Katha Work Jacket"/>
    <n v="5699"/>
    <n v="1"/>
    <s v="Valid Quantity"/>
    <n v="5699"/>
    <x v="107"/>
    <s v="DIWALI40"/>
    <n v="40"/>
    <n v="2279.6"/>
    <x v="3"/>
    <x v="1"/>
    <s v="Pune"/>
    <s v="Maharashtra"/>
    <s v="Mumbai"/>
    <d v="2024-11-19T00:00:00"/>
    <s v="Valid Date"/>
    <s v="On time delivery"/>
    <s v="Delivered"/>
    <x v="0"/>
    <s v="Size Issue"/>
    <x v="38"/>
    <s v="Returned"/>
    <s v="Valid"/>
    <s v="Processed"/>
  </r>
  <r>
    <x v="144"/>
    <x v="35"/>
    <s v="Valid Q4"/>
    <s v="CUST_10149"/>
    <x v="0"/>
    <s v="ACC-BNG-OS"/>
    <x v="4"/>
    <s v="Bangle Set"/>
    <n v="599"/>
    <n v="4"/>
    <s v="Valid Quantity"/>
    <n v="2396"/>
    <x v="108"/>
    <s v="DIWALI40"/>
    <n v="40"/>
    <n v="958.4"/>
    <x v="2"/>
    <x v="0"/>
    <s v="Ahmedabad"/>
    <s v="Gujarat"/>
    <s v="Mumbai"/>
    <d v="2024-11-18T00:00:00"/>
    <s v="Valid Date"/>
    <s v="On time delivery"/>
    <s v="Delivered"/>
    <x v="0"/>
    <s v="Damaged in Transit"/>
    <x v="36"/>
    <s v="Returned"/>
    <s v="Valid"/>
    <s v="Processed"/>
  </r>
  <r>
    <x v="145"/>
    <x v="36"/>
    <s v="Valid Q4"/>
    <s v="CUST_10150"/>
    <x v="0"/>
    <s v="TOP-KSH-L"/>
    <x v="1"/>
    <s v="Kashmiri Top"/>
    <n v="2999"/>
    <n v="1"/>
    <s v="Valid Quantity"/>
    <n v="2999"/>
    <x v="27"/>
    <m/>
    <n v="0"/>
    <n v="0"/>
    <x v="1"/>
    <x v="2"/>
    <s v="Jaipur"/>
    <s v="Rajasthan"/>
    <s v="Delhi"/>
    <d v="2024-11-19T00:00:00"/>
    <s v="Valid Date"/>
    <s v="On time delivery"/>
    <s v="Delivered"/>
    <x v="1"/>
    <m/>
    <x v="2"/>
    <s v="Not Returned"/>
    <s v="Not returned"/>
    <s v="Not Applicable"/>
  </r>
  <r>
    <x v="146"/>
    <x v="36"/>
    <s v="Valid Q4"/>
    <s v="CUST_10151"/>
    <x v="0"/>
    <s v="DRS-IDR-S"/>
    <x v="2"/>
    <s v="Ikat Dress"/>
    <n v="2799"/>
    <n v="1"/>
    <s v="Valid Quantity"/>
    <n v="2799"/>
    <x v="9"/>
    <m/>
    <n v="0"/>
    <n v="0"/>
    <x v="3"/>
    <x v="1"/>
    <s v="Lucknow"/>
    <s v="Uttar Pradesh"/>
    <s v="Delhi"/>
    <d v="2024-11-20T00:00:00"/>
    <s v="Valid Date"/>
    <s v="On time delivery"/>
    <s v="Delivered"/>
    <x v="0"/>
    <s v="Quality Defect"/>
    <x v="38"/>
    <s v="Returned"/>
    <s v="Valid"/>
    <s v="Processed"/>
  </r>
  <r>
    <x v="147"/>
    <x v="36"/>
    <s v="Valid Q4"/>
    <s v="CUST_10152"/>
    <x v="1"/>
    <s v="BOT-KLN-M"/>
    <x v="3"/>
    <s v="Kalamkari Pants"/>
    <n v="1699"/>
    <n v="1"/>
    <s v="Valid Quantity"/>
    <n v="1699"/>
    <x v="109"/>
    <s v="Nov-15"/>
    <n v="15"/>
    <n v="254.85"/>
    <x v="0"/>
    <x v="0"/>
    <s v="Bangalore"/>
    <s v="Karnataka"/>
    <s v="Bangalore"/>
    <d v="2024-11-18T00:00:00"/>
    <s v="Valid Date"/>
    <s v="On time delivery"/>
    <s v="Delivered"/>
    <x v="1"/>
    <m/>
    <x v="2"/>
    <s v="Not Returned"/>
    <s v="Not returned"/>
    <s v="Not Applicable"/>
  </r>
  <r>
    <x v="148"/>
    <x v="37"/>
    <s v="Valid Q4"/>
    <s v="CUST_10153"/>
    <x v="0"/>
    <s v="OUT-JQD-L"/>
    <x v="0"/>
    <s v="Jacquard Jacket"/>
    <n v="4599"/>
    <n v="1"/>
    <s v="Valid Quantity"/>
    <n v="4599"/>
    <x v="110"/>
    <m/>
    <n v="0"/>
    <n v="0"/>
    <x v="1"/>
    <x v="2"/>
    <s v="Mumbai"/>
    <s v="Maharashtra"/>
    <s v="Mumbai"/>
    <d v="2024-11-21T00:00:00"/>
    <s v="Valid Date"/>
    <s v="On time delivery"/>
    <s v="Delivered"/>
    <x v="0"/>
    <s v="Size Issue"/>
    <x v="39"/>
    <s v="Returned"/>
    <s v="Valid"/>
    <s v="Processed"/>
  </r>
  <r>
    <x v="149"/>
    <x v="37"/>
    <s v="Valid Q4"/>
    <s v="CUST_10154"/>
    <x v="0"/>
    <s v="ACC-CHN-OS"/>
    <x v="4"/>
    <s v="Choker Necklace"/>
    <n v="899"/>
    <n v="1"/>
    <s v="Valid Quantity"/>
    <n v="899"/>
    <x v="45"/>
    <m/>
    <n v="0"/>
    <n v="0"/>
    <x v="2"/>
    <x v="1"/>
    <s v="Delhi"/>
    <s v="Delhi"/>
    <s v="Delhi"/>
    <d v="2024-11-19T00:00:00"/>
    <s v="Valid Date"/>
    <s v="On time delivery"/>
    <s v="Delivered"/>
    <x v="1"/>
    <m/>
    <x v="2"/>
    <s v="Not Returned"/>
    <s v="Not returned"/>
    <s v="Not Applicable"/>
  </r>
  <r>
    <x v="150"/>
    <x v="37"/>
    <s v="Valid Q4"/>
    <s v="CUST_10155"/>
    <x v="0"/>
    <s v="TOP-AJR-M"/>
    <x v="1"/>
    <s v="Ajrakh Print Top"/>
    <n v="1799"/>
    <n v="1"/>
    <s v="Valid Quantity"/>
    <n v="1799"/>
    <x v="111"/>
    <s v="Nov-15"/>
    <n v="15"/>
    <n v="269.85000000000002"/>
    <x v="3"/>
    <x v="0"/>
    <s v="Chandigarh"/>
    <s v="Punjab"/>
    <s v="Delhi"/>
    <d v="2024-11-20T00:00:00"/>
    <s v="Valid Date"/>
    <s v="On time delivery"/>
    <s v="Delivered"/>
    <x v="0"/>
    <s v="Wrong Item"/>
    <x v="40"/>
    <s v="Returned"/>
    <s v="Valid"/>
    <s v="Processed"/>
  </r>
  <r>
    <x v="151"/>
    <x v="38"/>
    <s v="Valid Q4"/>
    <s v="CUST_10156"/>
    <x v="0"/>
    <s v="DRS-BLK-L"/>
    <x v="2"/>
    <s v="Block Print Dress"/>
    <n v="2599"/>
    <n v="1"/>
    <s v="Valid Quantity"/>
    <n v="2599"/>
    <x v="35"/>
    <m/>
    <n v="0"/>
    <n v="0"/>
    <x v="4"/>
    <x v="2"/>
    <s v="Noida"/>
    <s v="Uttar Pradesh"/>
    <s v="Delhi"/>
    <d v="2024-11-22T00:00:00"/>
    <s v="Valid Date"/>
    <s v="On time delivery"/>
    <s v="Delivered"/>
    <x v="1"/>
    <m/>
    <x v="2"/>
    <s v="Not Returned"/>
    <s v="Not returned"/>
    <s v="Not Applicable"/>
  </r>
  <r>
    <x v="152"/>
    <x v="38"/>
    <s v="Valid Q4"/>
    <s v="CUST_10157"/>
    <x v="1"/>
    <s v="BOT-TIE-S"/>
    <x v="3"/>
    <s v="Tie Dye Pants"/>
    <n v="1599"/>
    <n v="1"/>
    <s v="Valid Quantity"/>
    <n v="1599"/>
    <x v="28"/>
    <m/>
    <n v="0"/>
    <n v="0"/>
    <x v="1"/>
    <x v="1"/>
    <s v="Gurgaon"/>
    <s v="Haryana"/>
    <s v="Delhi"/>
    <d v="2024-11-20T00:00:00"/>
    <s v="Valid Date"/>
    <s v="On time delivery"/>
    <s v="Delivered"/>
    <x v="0"/>
    <s v="Changed Mind"/>
    <x v="38"/>
    <s v="Returned"/>
    <s v="Valid"/>
    <s v="Processed"/>
  </r>
  <r>
    <x v="153"/>
    <x v="38"/>
    <s v="Valid Q4"/>
    <s v="CUST_10158"/>
    <x v="0"/>
    <s v="OUT-EMB-M"/>
    <x v="0"/>
    <s v="Embellished Jacket"/>
    <n v="5299"/>
    <n v="1"/>
    <s v="Valid Quantity"/>
    <n v="5299"/>
    <x v="112"/>
    <s v="Nov-15"/>
    <n v="15"/>
    <n v="794.85"/>
    <x v="0"/>
    <x v="0"/>
    <s v="Indore"/>
    <s v="Madhya Pradesh"/>
    <s v="Mumbai"/>
    <d v="2024-11-23T00:00:00"/>
    <s v="Valid Date"/>
    <s v="On time delivery"/>
    <s v="Delivered"/>
    <x v="1"/>
    <m/>
    <x v="2"/>
    <s v="Not Returned"/>
    <s v="Not returned"/>
    <s v="Not Applicable"/>
  </r>
  <r>
    <x v="154"/>
    <x v="39"/>
    <s v="Valid Q4"/>
    <s v="CUST_10159"/>
    <x v="0"/>
    <s v="ACC-HRM-OS"/>
    <x v="4"/>
    <s v="Hair Clip Set"/>
    <n v="499"/>
    <n v="3"/>
    <s v="Valid Quantity"/>
    <n v="1497"/>
    <x v="113"/>
    <m/>
    <n v="0"/>
    <n v="0"/>
    <x v="3"/>
    <x v="2"/>
    <s v="Surat"/>
    <s v="Gujarat"/>
    <s v="Mumbai"/>
    <d v="2024-11-21T00:00:00"/>
    <s v="Valid Date"/>
    <s v="On time delivery"/>
    <s v="Delivered"/>
    <x v="0"/>
    <s v="Damaged in Transit"/>
    <x v="40"/>
    <s v="Returned"/>
    <s v="Valid"/>
    <s v="Processed"/>
  </r>
  <r>
    <x v="155"/>
    <x v="39"/>
    <s v="Valid Q4"/>
    <s v="CUST_10160"/>
    <x v="0"/>
    <s v="TOP-PRN-L"/>
    <x v="1"/>
    <s v="Printed Kurta"/>
    <n v="2099"/>
    <n v="1"/>
    <s v="Valid Quantity"/>
    <n v="2099"/>
    <x v="114"/>
    <m/>
    <n v="0"/>
    <n v="0"/>
    <x v="2"/>
    <x v="1"/>
    <s v="Patna"/>
    <s v="Bihar"/>
    <s v="Delhi"/>
    <m/>
    <s v="Not Delivered"/>
    <s v="Not delivered"/>
    <s v="RTO"/>
    <x v="1"/>
    <m/>
    <x v="2"/>
    <s v="Not Delivered"/>
    <s v="Not returned"/>
    <s v="Not Applicable"/>
  </r>
  <r>
    <x v="156"/>
    <x v="39"/>
    <s v="Valid Q4"/>
    <s v="CUST_10161"/>
    <x v="0"/>
    <s v="DRS-FLR-S"/>
    <x v="2"/>
    <s v="Floral Print Dress"/>
    <n v="2399"/>
    <n v="1"/>
    <s v="Valid Quantity"/>
    <n v="2399"/>
    <x v="115"/>
    <s v="Nov-15"/>
    <n v="15"/>
    <n v="359.85"/>
    <x v="1"/>
    <x v="0"/>
    <s v="Bhopal"/>
    <s v="Madhya Pradesh"/>
    <s v="Mumbai"/>
    <d v="2024-11-24T00:00:00"/>
    <s v="Valid Date"/>
    <s v="On time delivery"/>
    <s v="Delivered"/>
    <x v="0"/>
    <s v="Size Issue"/>
    <x v="41"/>
    <s v="Returned"/>
    <s v="Valid"/>
    <s v="Processed"/>
  </r>
  <r>
    <x v="157"/>
    <x v="40"/>
    <s v="Valid Q4"/>
    <s v="CUST_10162"/>
    <x v="1"/>
    <s v="BOT-DOT-M"/>
    <x v="3"/>
    <s v="Polka Dot Pants"/>
    <n v="1799"/>
    <n v="1"/>
    <s v="Valid Quantity"/>
    <n v="1799"/>
    <x v="30"/>
    <m/>
    <n v="0"/>
    <n v="0"/>
    <x v="4"/>
    <x v="2"/>
    <s v="Nagpur"/>
    <s v="Maharashtra"/>
    <s v="Mumbai"/>
    <d v="2024-11-22T00:00:00"/>
    <s v="Valid Date"/>
    <s v="On time delivery"/>
    <s v="Delivered"/>
    <x v="1"/>
    <m/>
    <x v="2"/>
    <s v="Not Returned"/>
    <s v="Not returned"/>
    <s v="Not Applicable"/>
  </r>
  <r>
    <x v="158"/>
    <x v="9"/>
    <s v="Valid Q4"/>
    <s v="CUST_10163"/>
    <x v="0"/>
    <s v="OUT-STR-L"/>
    <x v="0"/>
    <s v="Striped Blazer"/>
    <n v="4199"/>
    <n v="1"/>
    <s v="Valid Quantity"/>
    <n v="4199"/>
    <x v="116"/>
    <m/>
    <n v="0"/>
    <n v="0"/>
    <x v="3"/>
    <x v="1"/>
    <s v="Coimbatore"/>
    <s v="Tamil Nadu"/>
    <s v="Bangalore"/>
    <d v="2024-11-25T00:00:00"/>
    <s v="Valid Date"/>
    <s v="Late delivery"/>
    <s v="Delivered"/>
    <x v="0"/>
    <s v="Quality Defect"/>
    <x v="42"/>
    <s v="Returned"/>
    <s v="Valid"/>
    <s v="Processed"/>
  </r>
  <r>
    <x v="159"/>
    <x v="40"/>
    <s v="Valid Q4"/>
    <s v="CUST_10164"/>
    <x v="0"/>
    <s v="ACC-TBR-OS"/>
    <x v="4"/>
    <s v="Tassel Earrings"/>
    <n v="699"/>
    <n v="2"/>
    <s v="Valid Quantity"/>
    <n v="1398"/>
    <x v="117"/>
    <m/>
    <n v="0"/>
    <n v="0"/>
    <x v="0"/>
    <x v="0"/>
    <s v="Kochi"/>
    <s v="Kerala"/>
    <s v="Bangalore"/>
    <d v="2024-11-23T00:00:00"/>
    <s v="Valid Date"/>
    <s v="On time delivery"/>
    <s v="Delivered"/>
    <x v="1"/>
    <m/>
    <x v="2"/>
    <s v="Not Returned"/>
    <s v="Not returned"/>
    <s v="Not Applicable"/>
  </r>
  <r>
    <x v="160"/>
    <x v="41"/>
    <s v="Valid Q4"/>
    <s v="CUST_10165"/>
    <x v="0"/>
    <s v="TOP-SLV-S"/>
    <x v="1"/>
    <s v="Sleeve Detail Top"/>
    <n v="1599"/>
    <n v="1"/>
    <s v="Valid Quantity"/>
    <n v="1599"/>
    <x v="73"/>
    <s v="Nov-15"/>
    <n v="15"/>
    <n v="239.85"/>
    <x v="1"/>
    <x v="2"/>
    <s v="Vizag"/>
    <s v="Andhra Pradesh"/>
    <s v="Bangalore"/>
    <d v="2024-11-24T00:00:00"/>
    <s v="Valid Date"/>
    <s v="On time delivery"/>
    <s v="Delivered"/>
    <x v="0"/>
    <s v="Size Issue"/>
    <x v="43"/>
    <s v="Returned"/>
    <s v="Valid"/>
    <s v="Processed"/>
  </r>
  <r>
    <x v="161"/>
    <x v="41"/>
    <s v="Valid Q4"/>
    <s v="CUST_10166"/>
    <x v="0"/>
    <s v="DRS-ASY-M"/>
    <x v="2"/>
    <s v="Asymmetric Dress"/>
    <n v="2899"/>
    <n v="1"/>
    <s v="Valid Quantity"/>
    <n v="2899"/>
    <x v="12"/>
    <m/>
    <n v="0"/>
    <n v="0"/>
    <x v="2"/>
    <x v="1"/>
    <s v="Thiruvananthapuram"/>
    <s v="Kerala"/>
    <s v="Bangalore"/>
    <d v="2024-11-26T00:00:00"/>
    <s v="Valid Date"/>
    <s v="On time delivery"/>
    <s v="Delivered"/>
    <x v="0"/>
    <s v="Wrong Item"/>
    <x v="44"/>
    <s v="Returned"/>
    <s v="Valid"/>
    <s v="Processed"/>
  </r>
  <r>
    <x v="162"/>
    <x v="41"/>
    <s v="Valid Q4"/>
    <s v="CUST_10167"/>
    <x v="1"/>
    <s v="BOT-FRN-L"/>
    <x v="3"/>
    <s v="Fringe Pants"/>
    <n v="2199"/>
    <n v="1"/>
    <s v="Valid Quantity"/>
    <n v="2199"/>
    <x v="48"/>
    <m/>
    <n v="0"/>
    <n v="0"/>
    <x v="3"/>
    <x v="0"/>
    <s v="Mysore"/>
    <s v="Karnataka"/>
    <s v="Bangalore"/>
    <d v="2024-11-24T00:00:00"/>
    <s v="Valid Date"/>
    <s v="On time delivery"/>
    <s v="Delivered"/>
    <x v="1"/>
    <m/>
    <x v="2"/>
    <s v="Not Returned"/>
    <s v="Not returned"/>
    <s v="Not Applicable"/>
  </r>
  <r>
    <x v="163"/>
    <x v="42"/>
    <s v="Valid Q4"/>
    <s v="CUST_10168"/>
    <x v="0"/>
    <s v="OUT-TWD-M"/>
    <x v="0"/>
    <s v="Tweed Jacket"/>
    <n v="5599"/>
    <n v="1"/>
    <s v="Valid Quantity"/>
    <n v="5599"/>
    <x v="118"/>
    <m/>
    <n v="0"/>
    <n v="0"/>
    <x v="1"/>
    <x v="2"/>
    <s v="Vadodara"/>
    <s v="Gujarat"/>
    <s v="Mumbai"/>
    <d v="2024-11-27T00:00:00"/>
    <s v="Valid Date"/>
    <s v="On time delivery"/>
    <s v="Delivered"/>
    <x v="0"/>
    <s v="Changed Mind"/>
    <x v="45"/>
    <s v="Returned"/>
    <s v="Valid"/>
    <s v="Processed"/>
  </r>
  <r>
    <x v="164"/>
    <x v="42"/>
    <s v="Valid Q4"/>
    <s v="CUST_10169"/>
    <x v="0"/>
    <s v="ACC-PIN-OS"/>
    <x v="4"/>
    <s v="Brooch Pin"/>
    <n v="399"/>
    <n v="2"/>
    <s v="Valid Quantity"/>
    <n v="798"/>
    <x v="119"/>
    <s v="Nov-15"/>
    <n v="15"/>
    <n v="119.7"/>
    <x v="4"/>
    <x v="1"/>
    <s v="Rajkot"/>
    <s v="Gujarat"/>
    <s v="Mumbai"/>
    <d v="2024-11-25T00:00:00"/>
    <s v="Valid Date"/>
    <s v="On time delivery"/>
    <s v="Delivered"/>
    <x v="1"/>
    <m/>
    <x v="2"/>
    <s v="Not Returned"/>
    <s v="Not returned"/>
    <s v="Not Applicable"/>
  </r>
  <r>
    <x v="165"/>
    <x v="42"/>
    <s v="Valid Q4"/>
    <s v="CUST_10170"/>
    <x v="0"/>
    <s v="TOP-MCR-M"/>
    <x v="1"/>
    <s v="Macrame Top"/>
    <n v="1899"/>
    <n v="1"/>
    <s v="Valid Quantity"/>
    <n v="1899"/>
    <x v="23"/>
    <m/>
    <n v="0"/>
    <n v="0"/>
    <x v="0"/>
    <x v="0"/>
    <s v="Kanpur"/>
    <s v="Uttar Pradesh"/>
    <s v="Delhi"/>
    <d v="2024-11-26T00:00:00"/>
    <s v="Valid Date"/>
    <s v="On time delivery"/>
    <s v="Delivered"/>
    <x v="0"/>
    <s v="Quality Defect"/>
    <x v="42"/>
    <s v="Returned"/>
    <s v="Valid"/>
    <s v="Processed"/>
  </r>
  <r>
    <x v="166"/>
    <x v="43"/>
    <s v="Valid Q4"/>
    <s v="CUST_10171"/>
    <x v="0"/>
    <s v="DRS-PLT-S"/>
    <x v="2"/>
    <s v="Pleated Midi Dress"/>
    <n v="2699"/>
    <n v="1"/>
    <s v="Valid Quantity"/>
    <n v="2699"/>
    <x v="20"/>
    <m/>
    <n v="0"/>
    <n v="0"/>
    <x v="3"/>
    <x v="2"/>
    <s v="Mumbai"/>
    <s v="Maharashtra"/>
    <s v="Mumbai"/>
    <d v="2024-11-28T00:00:00"/>
    <s v="Valid Date"/>
    <s v="On time delivery"/>
    <s v="Delivered"/>
    <x v="1"/>
    <m/>
    <x v="2"/>
    <s v="Not Returned"/>
    <s v="Not returned"/>
    <s v="Not Applicable"/>
  </r>
  <r>
    <x v="167"/>
    <x v="43"/>
    <s v="Valid Q4"/>
    <s v="CUST_10172"/>
    <x v="1"/>
    <s v="BOT-VLT-L"/>
    <x v="3"/>
    <s v="Velvet Pants"/>
    <n v="2499"/>
    <n v="1"/>
    <s v="Valid Quantity"/>
    <n v="2499"/>
    <x v="120"/>
    <s v="Nov-15"/>
    <n v="15"/>
    <n v="374.85"/>
    <x v="1"/>
    <x v="1"/>
    <s v="Delhi"/>
    <s v="Delhi"/>
    <s v="Delhi"/>
    <d v="2024-11-26T00:00:00"/>
    <s v="Valid Date"/>
    <s v="On time delivery"/>
    <s v="Delivered"/>
    <x v="0"/>
    <s v="Size Issue"/>
    <x v="44"/>
    <s v="Returned"/>
    <s v="Valid"/>
    <s v="Processed"/>
  </r>
  <r>
    <x v="168"/>
    <x v="43"/>
    <s v="Valid Q4"/>
    <s v="CUST_10173"/>
    <x v="0"/>
    <s v="OUT-CHK-M"/>
    <x v="0"/>
    <s v="Check Coat"/>
    <n v="6299"/>
    <n v="1"/>
    <s v="Valid Quantity"/>
    <n v="6299"/>
    <x v="121"/>
    <m/>
    <n v="0"/>
    <n v="0"/>
    <x v="2"/>
    <x v="0"/>
    <s v="Kolkata"/>
    <s v="West Bengal"/>
    <s v="Delhi"/>
    <m/>
    <s v="Not Delivered"/>
    <s v="Not delivered"/>
    <s v="RTO"/>
    <x v="1"/>
    <m/>
    <x v="2"/>
    <s v="Not Delivered"/>
    <s v="Not returned"/>
    <s v="Not Applicable"/>
  </r>
  <r>
    <x v="169"/>
    <x v="44"/>
    <s v="Valid Q4"/>
    <s v="CUST_10174"/>
    <x v="0"/>
    <s v="ACC-WVN-OS"/>
    <x v="4"/>
    <s v="Woven Bag"/>
    <n v="1599"/>
    <n v="1"/>
    <s v="Valid Quantity"/>
    <n v="1599"/>
    <x v="28"/>
    <m/>
    <n v="0"/>
    <n v="0"/>
    <x v="4"/>
    <x v="2"/>
    <s v="Chennai"/>
    <s v="Tamil Nadu"/>
    <s v="Bangalore"/>
    <d v="2024-11-27T00:00:00"/>
    <s v="Valid Date"/>
    <s v="On time delivery"/>
    <s v="Delivered"/>
    <x v="0"/>
    <s v="Damaged in Transit"/>
    <x v="45"/>
    <s v="Returned"/>
    <s v="Valid"/>
    <s v="Processed"/>
  </r>
  <r>
    <x v="170"/>
    <x v="44"/>
    <s v="Valid Q4"/>
    <s v="CUST_10175"/>
    <x v="0"/>
    <s v="TOP-BLN-L"/>
    <x v="1"/>
    <s v="Balloon Sleeve Top"/>
    <n v="1699"/>
    <n v="1"/>
    <s v="Valid Quantity"/>
    <n v="1699"/>
    <x v="15"/>
    <m/>
    <n v="0"/>
    <n v="0"/>
    <x v="3"/>
    <x v="1"/>
    <s v="Hyderabad"/>
    <s v="Telangana"/>
    <s v="Bangalore"/>
    <d v="2024-11-28T00:00:00"/>
    <s v="Valid Date"/>
    <s v="On time delivery"/>
    <s v="Delivered"/>
    <x v="1"/>
    <m/>
    <x v="2"/>
    <s v="Not Returned"/>
    <s v="Not returned"/>
    <s v="Not Applicable"/>
  </r>
  <r>
    <x v="171"/>
    <x v="44"/>
    <s v="Valid Q4"/>
    <s v="CUST_10176"/>
    <x v="0"/>
    <s v="DRS-CRO-S"/>
    <x v="2"/>
    <s v="Crochet Dress"/>
    <n v="3199"/>
    <n v="1"/>
    <s v="Valid Quantity"/>
    <n v="3199"/>
    <x v="122"/>
    <s v="Nov-15"/>
    <n v="15"/>
    <n v="479.85"/>
    <x v="0"/>
    <x v="0"/>
    <s v="Pune"/>
    <s v="Maharashtra"/>
    <s v="Mumbai"/>
    <d v="2024-11-29T00:00:00"/>
    <s v="Valid Date"/>
    <s v="On time delivery"/>
    <s v="Delivered"/>
    <x v="0"/>
    <s v="Size Issue"/>
    <x v="46"/>
    <s v="Returned"/>
    <s v="Valid"/>
    <s v="Processed"/>
  </r>
  <r>
    <x v="172"/>
    <x v="45"/>
    <s v="Valid Q4"/>
    <s v="CUST_10177"/>
    <x v="1"/>
    <s v="BOT-PTW-M"/>
    <x v="3"/>
    <s v="Patchwork Pants"/>
    <n v="2099"/>
    <n v="1"/>
    <s v="Valid Quantity"/>
    <n v="2099"/>
    <x v="114"/>
    <m/>
    <n v="0"/>
    <n v="0"/>
    <x v="1"/>
    <x v="2"/>
    <s v="Ahmedabad"/>
    <s v="Gujarat"/>
    <s v="Mumbai"/>
    <d v="2024-11-28T00:00:00"/>
    <s v="Valid Date"/>
    <s v="On time delivery"/>
    <s v="Delivered"/>
    <x v="1"/>
    <m/>
    <x v="2"/>
    <s v="Not Returned"/>
    <s v="Not returned"/>
    <s v="Not Applicable"/>
  </r>
  <r>
    <x v="173"/>
    <x v="45"/>
    <s v="Valid Q4"/>
    <s v="CUST_10178"/>
    <x v="0"/>
    <s v="OUT-HRN-L"/>
    <x v="0"/>
    <s v="Herringbone Coat"/>
    <n v="6999"/>
    <n v="1"/>
    <s v="Valid Quantity"/>
    <n v="6999"/>
    <x v="123"/>
    <m/>
    <n v="0"/>
    <n v="0"/>
    <x v="3"/>
    <x v="1"/>
    <s v="Jaipur"/>
    <s v="Rajasthan"/>
    <s v="Delhi"/>
    <d v="2024-11-30T00:00:00"/>
    <s v="Valid Date"/>
    <s v="On time delivery"/>
    <s v="Delivered"/>
    <x v="0"/>
    <s v="Wrong Item"/>
    <x v="47"/>
    <s v="Returned"/>
    <s v="Valid"/>
    <s v="Processed"/>
  </r>
  <r>
    <x v="174"/>
    <x v="45"/>
    <s v="Valid Q4"/>
    <s v="CUST_10179"/>
    <x v="0"/>
    <s v="ACC-MTL-OS"/>
    <x v="4"/>
    <s v="Metal Belt"/>
    <n v="899"/>
    <n v="1"/>
    <s v="Valid Quantity"/>
    <n v="899"/>
    <x v="45"/>
    <m/>
    <n v="0"/>
    <n v="0"/>
    <x v="2"/>
    <x v="0"/>
    <s v="Lucknow"/>
    <s v="Uttar Pradesh"/>
    <s v="Delhi"/>
    <d v="2024-11-28T00:00:00"/>
    <s v="Valid Date"/>
    <s v="On time delivery"/>
    <s v="Delivered"/>
    <x v="0"/>
    <s v="Changed Mind"/>
    <x v="48"/>
    <s v="Returned"/>
    <s v="Valid"/>
    <s v="Processed"/>
  </r>
  <r>
    <x v="175"/>
    <x v="46"/>
    <s v="Valid Q4"/>
    <s v="CUST_10180"/>
    <x v="0"/>
    <s v="TOP-RCH-S"/>
    <x v="1"/>
    <s v="Rouched Top"/>
    <n v="1499"/>
    <n v="1"/>
    <s v="Valid Quantity"/>
    <n v="1499"/>
    <x v="124"/>
    <s v="Nov-15"/>
    <n v="15"/>
    <n v="224.85"/>
    <x v="4"/>
    <x v="2"/>
    <s v="Bangalore"/>
    <s v="Karnataka"/>
    <s v="Bangalore"/>
    <d v="2024-11-29T00:00:00"/>
    <s v="Valid Date"/>
    <s v="On time delivery"/>
    <s v="Delivered"/>
    <x v="1"/>
    <m/>
    <x v="2"/>
    <s v="Not Returned"/>
    <s v="Not returned"/>
    <s v="Not Applicable"/>
  </r>
  <r>
    <x v="176"/>
    <x v="46"/>
    <s v="Valid Q4"/>
    <s v="CUST_10181"/>
    <x v="0"/>
    <s v="DRS-TRF-M"/>
    <x v="2"/>
    <s v="Tiered Ruffle Dress"/>
    <n v="2999"/>
    <n v="1"/>
    <s v="Valid Quantity"/>
    <n v="2999"/>
    <x v="27"/>
    <m/>
    <n v="0"/>
    <n v="0"/>
    <x v="0"/>
    <x v="1"/>
    <s v="Mumbai"/>
    <s v="Maharashtra"/>
    <s v="Mumbai"/>
    <d v="2024-12-01T00:00:00"/>
    <s v="Valid Date"/>
    <s v="On time delivery"/>
    <s v="Delivered"/>
    <x v="0"/>
    <s v="Quality Defect"/>
    <x v="49"/>
    <s v="Returned"/>
    <s v="Valid"/>
    <s v="Processed"/>
  </r>
  <r>
    <x v="177"/>
    <x v="46"/>
    <s v="Valid Q4"/>
    <s v="CUST_10182"/>
    <x v="1"/>
    <s v="BOT-BND-L"/>
    <x v="3"/>
    <s v="Banded Pants"/>
    <n v="1899"/>
    <n v="1"/>
    <s v="Valid Quantity"/>
    <n v="1899"/>
    <x v="23"/>
    <m/>
    <n v="0"/>
    <n v="0"/>
    <x v="1"/>
    <x v="0"/>
    <s v="Delhi"/>
    <s v="Delhi"/>
    <s v="Delhi"/>
    <d v="2024-11-29T00:00:00"/>
    <s v="Valid Date"/>
    <s v="On time delivery"/>
    <s v="Delivered"/>
    <x v="1"/>
    <m/>
    <x v="2"/>
    <s v="Not Returned"/>
    <s v="Not returned"/>
    <s v="Not Applicable"/>
  </r>
  <r>
    <x v="178"/>
    <x v="47"/>
    <s v="Valid Q4"/>
    <s v="CUST_10183"/>
    <x v="0"/>
    <s v="OUT-CML-M"/>
    <x v="0"/>
    <s v="Camel Coat"/>
    <n v="7499"/>
    <n v="1"/>
    <s v="Valid Quantity"/>
    <n v="7499"/>
    <x v="125"/>
    <m/>
    <n v="0"/>
    <n v="0"/>
    <x v="3"/>
    <x v="2"/>
    <s v="Chandigarh"/>
    <s v="Punjab"/>
    <s v="Delhi"/>
    <d v="2024-12-02T00:00:00"/>
    <s v="Valid Date"/>
    <s v="On time delivery"/>
    <s v="Delivered"/>
    <x v="0"/>
    <s v="Size Issue"/>
    <x v="50"/>
    <s v="Returned"/>
    <s v="Valid"/>
    <s v="Processed"/>
  </r>
  <r>
    <x v="179"/>
    <x v="47"/>
    <s v="Valid Q4"/>
    <s v="CUST_10184"/>
    <x v="0"/>
    <s v="ACC-STN-OS"/>
    <x v="4"/>
    <s v="Stone Necklace"/>
    <n v="1299"/>
    <n v="1"/>
    <s v="Valid Quantity"/>
    <n v="1299"/>
    <x v="126"/>
    <s v="Nov-15"/>
    <n v="15"/>
    <n v="194.85"/>
    <x v="2"/>
    <x v="1"/>
    <s v="Noida"/>
    <s v="Uttar Pradesh"/>
    <s v="Delhi"/>
    <d v="2024-11-30T00:00:00"/>
    <s v="Valid Date"/>
    <s v="On time delivery"/>
    <s v="Delivered"/>
    <x v="1"/>
    <m/>
    <x v="2"/>
    <s v="Not Returned"/>
    <s v="Not returned"/>
    <s v="Not Applicable"/>
  </r>
  <r>
    <x v="180"/>
    <x v="47"/>
    <s v="Valid Q4"/>
    <s v="CUST_10185"/>
    <x v="0"/>
    <s v="TOP-KNT-M"/>
    <x v="1"/>
    <s v="Knotted Top"/>
    <n v="1599"/>
    <n v="1"/>
    <s v="Valid Quantity"/>
    <n v="1599"/>
    <x v="28"/>
    <m/>
    <n v="0"/>
    <n v="0"/>
    <x v="1"/>
    <x v="0"/>
    <s v="Gurgaon"/>
    <s v="Haryana"/>
    <s v="Delhi"/>
    <d v="2024-12-01T00:00:00"/>
    <s v="Valid Date"/>
    <s v="On time delivery"/>
    <s v="Delivered"/>
    <x v="0"/>
    <s v="Damaged in Transit"/>
    <x v="47"/>
    <s v="Returned"/>
    <s v="Valid"/>
    <s v="Processed"/>
  </r>
  <r>
    <x v="181"/>
    <x v="48"/>
    <s v="Valid Q4"/>
    <s v="CUST_10186"/>
    <x v="0"/>
    <s v="DRS-SQN-L"/>
    <x v="2"/>
    <s v="Sequin Midi Dress"/>
    <n v="3799"/>
    <n v="1"/>
    <s v="Valid Quantity"/>
    <n v="3799"/>
    <x v="41"/>
    <m/>
    <n v="0"/>
    <n v="0"/>
    <x v="4"/>
    <x v="2"/>
    <s v="Indore"/>
    <s v="Madhya Pradesh"/>
    <s v="Mumbai"/>
    <d v="2024-12-03T00:00:00"/>
    <s v="Valid Date"/>
    <s v="On time delivery"/>
    <s v="Delivered"/>
    <x v="1"/>
    <m/>
    <x v="2"/>
    <s v="Not Returned"/>
    <s v="Not returned"/>
    <s v="Not Applicable"/>
  </r>
  <r>
    <x v="182"/>
    <x v="48"/>
    <s v="Valid Q4"/>
    <s v="CUST_10187"/>
    <x v="1"/>
    <s v="BOT-GLT-S"/>
    <x v="3"/>
    <s v="Glitter Pants"/>
    <n v="2299"/>
    <n v="1"/>
    <s v="Valid Quantity"/>
    <n v="2299"/>
    <x v="3"/>
    <m/>
    <n v="0"/>
    <n v="0"/>
    <x v="3"/>
    <x v="1"/>
    <s v="Surat"/>
    <s v="Gujarat"/>
    <s v="Mumbai"/>
    <d v="2024-12-01T00:00:00"/>
    <s v="Valid Date"/>
    <s v="On time delivery"/>
    <s v="Delivered"/>
    <x v="0"/>
    <s v="Size Issue"/>
    <x v="49"/>
    <s v="Returned"/>
    <s v="Valid"/>
    <s v="Processed"/>
  </r>
  <r>
    <x v="183"/>
    <x v="48"/>
    <s v="Valid Q4"/>
    <s v="CUST_10188"/>
    <x v="0"/>
    <s v="OUT-FXF-M"/>
    <x v="0"/>
    <s v="Faux Fur Jacket"/>
    <n v="5999"/>
    <n v="1"/>
    <s v="Valid Quantity"/>
    <n v="5999"/>
    <x v="127"/>
    <s v="Nov-15"/>
    <n v="15"/>
    <n v="899.85"/>
    <x v="0"/>
    <x v="0"/>
    <s v="Patna"/>
    <s v="Bihar"/>
    <s v="Delhi"/>
    <d v="2024-12-04T00:00:00"/>
    <s v="Valid Date"/>
    <s v="On time delivery"/>
    <s v="Delivered"/>
    <x v="0"/>
    <s v="Wrong Item"/>
    <x v="51"/>
    <s v="Returned"/>
    <s v="Valid"/>
    <s v="Processed"/>
  </r>
  <r>
    <x v="184"/>
    <x v="49"/>
    <s v="Valid Q4"/>
    <s v="CUST_10189"/>
    <x v="0"/>
    <s v="ACC-CHM-OS"/>
    <x v="4"/>
    <s v="Charm Anklet"/>
    <n v="499"/>
    <n v="2"/>
    <s v="Valid Quantity"/>
    <n v="998"/>
    <x v="128"/>
    <m/>
    <n v="0"/>
    <n v="0"/>
    <x v="1"/>
    <x v="2"/>
    <s v="Bhopal"/>
    <s v="Madhya Pradesh"/>
    <s v="Mumbai"/>
    <d v="2024-12-02T00:00:00"/>
    <s v="Valid Date"/>
    <s v="On time delivery"/>
    <s v="Delivered"/>
    <x v="1"/>
    <m/>
    <x v="2"/>
    <s v="Not Returned"/>
    <s v="Not returned"/>
    <s v="Not Applicable"/>
  </r>
  <r>
    <x v="185"/>
    <x v="49"/>
    <s v="Valid Q4"/>
    <s v="CUST_10190"/>
    <x v="0"/>
    <s v="TOP-TXD-L"/>
    <x v="1"/>
    <s v="Textured Top"/>
    <n v="1799"/>
    <n v="1"/>
    <s v="Valid Quantity"/>
    <n v="1799"/>
    <x v="30"/>
    <m/>
    <n v="0"/>
    <n v="0"/>
    <x v="2"/>
    <x v="1"/>
    <s v="Nagpur"/>
    <s v="Maharashtra"/>
    <s v="Mumbai"/>
    <m/>
    <s v="Not Delivered"/>
    <s v="Not delivered"/>
    <s v="RTO"/>
    <x v="1"/>
    <m/>
    <x v="2"/>
    <s v="Not Delivered"/>
    <s v="Not returned"/>
    <s v="Not Applicable"/>
  </r>
  <r>
    <x v="186"/>
    <x v="49"/>
    <s v="Valid Q4"/>
    <s v="CUST_10191"/>
    <x v="0"/>
    <s v="DRS-VLR-S"/>
    <x v="2"/>
    <s v="Velour Dress"/>
    <n v="2999"/>
    <n v="1"/>
    <s v="Valid Quantity"/>
    <n v="2999"/>
    <x v="27"/>
    <m/>
    <n v="0"/>
    <n v="0"/>
    <x v="3"/>
    <x v="0"/>
    <s v="Coimbatore"/>
    <s v="Tamil Nadu"/>
    <s v="Bangalore"/>
    <d v="2024-12-05T00:00:00"/>
    <s v="Valid Date"/>
    <s v="On time delivery"/>
    <s v="Delivered"/>
    <x v="0"/>
    <s v="Changed Mind"/>
    <x v="52"/>
    <s v="Returned"/>
    <s v="Valid"/>
    <s v="Processed"/>
  </r>
  <r>
    <x v="187"/>
    <x v="50"/>
    <s v="Valid Q4"/>
    <s v="CUST_10192"/>
    <x v="1"/>
    <s v="BOT-STN-M"/>
    <x v="3"/>
    <s v="Satin Pants"/>
    <n v="2199"/>
    <n v="1"/>
    <s v="Valid Quantity"/>
    <n v="2199"/>
    <x v="66"/>
    <s v="Nov-15"/>
    <n v="15"/>
    <n v="329.85"/>
    <x v="4"/>
    <x v="2"/>
    <s v="Kochi"/>
    <s v="Kerala"/>
    <s v="Bangalore"/>
    <d v="2024-12-03T00:00:00"/>
    <s v="Valid Date"/>
    <s v="On time delivery"/>
    <s v="Delivered"/>
    <x v="1"/>
    <m/>
    <x v="2"/>
    <s v="Not Returned"/>
    <s v="Not returned"/>
    <s v="Not Applicable"/>
  </r>
  <r>
    <x v="188"/>
    <x v="50"/>
    <s v="Valid Q4"/>
    <s v="CUST_10193"/>
    <x v="0"/>
    <s v="OUT-SHN-L"/>
    <x v="0"/>
    <s v="Shiny Jacket"/>
    <n v="4899"/>
    <n v="1"/>
    <s v="Valid Quantity"/>
    <n v="4899"/>
    <x v="129"/>
    <m/>
    <n v="0"/>
    <n v="0"/>
    <x v="0"/>
    <x v="1"/>
    <s v="Vizag"/>
    <s v="Andhra Pradesh"/>
    <s v="Bangalore"/>
    <d v="2024-12-06T00:00:00"/>
    <s v="Valid Date"/>
    <s v="On time delivery"/>
    <s v="Delivered"/>
    <x v="0"/>
    <s v="Quality Defect"/>
    <x v="53"/>
    <s v="Returned"/>
    <s v="Valid"/>
    <s v="Processed"/>
  </r>
  <r>
    <x v="189"/>
    <x v="50"/>
    <s v="Valid Q4"/>
    <s v="CUST_10194"/>
    <x v="0"/>
    <s v="ACC-PRL-OS"/>
    <x v="4"/>
    <s v="Pearl Earrings"/>
    <n v="799"/>
    <n v="1"/>
    <s v="Valid Quantity"/>
    <n v="799"/>
    <x v="60"/>
    <m/>
    <n v="0"/>
    <n v="0"/>
    <x v="1"/>
    <x v="0"/>
    <s v="Thiruvananthapuram"/>
    <s v="Kerala"/>
    <s v="Bangalore"/>
    <d v="2024-12-04T00:00:00"/>
    <s v="Valid Date"/>
    <s v="On time delivery"/>
    <s v="Delivered"/>
    <x v="1"/>
    <m/>
    <x v="2"/>
    <s v="Not Returned"/>
    <s v="Not returned"/>
    <s v="Not Applicable"/>
  </r>
  <r>
    <x v="190"/>
    <x v="51"/>
    <s v="Valid Q4"/>
    <s v="CUST_10195"/>
    <x v="0"/>
    <s v="TOP-MTL-S"/>
    <x v="1"/>
    <s v="Metallic Top"/>
    <n v="1999"/>
    <n v="1"/>
    <s v="Valid Quantity"/>
    <n v="1999"/>
    <x v="72"/>
    <m/>
    <n v="0"/>
    <n v="0"/>
    <x v="3"/>
    <x v="2"/>
    <s v="Mysore"/>
    <s v="Karnataka"/>
    <s v="Bangalore"/>
    <d v="2024-12-05T00:00:00"/>
    <s v="Valid Date"/>
    <s v="On time delivery"/>
    <s v="Delivered"/>
    <x v="0"/>
    <s v="Size Issue"/>
    <x v="52"/>
    <s v="Returned"/>
    <s v="Valid"/>
    <s v="Processed"/>
  </r>
  <r>
    <x v="191"/>
    <x v="51"/>
    <s v="Valid Q4"/>
    <s v="CUST_10196"/>
    <x v="0"/>
    <s v="DRS-GLM-M"/>
    <x v="2"/>
    <s v="Glamour Dress"/>
    <n v="3499"/>
    <n v="1"/>
    <s v="Valid Quantity"/>
    <n v="3499"/>
    <x v="0"/>
    <s v="Nov-15"/>
    <n v="15"/>
    <n v="524.85"/>
    <x v="2"/>
    <x v="1"/>
    <s v="Vadodara"/>
    <s v="Gujarat"/>
    <s v="Mumbai"/>
    <d v="2024-12-07T00:00:00"/>
    <s v="Valid Date"/>
    <s v="On time delivery"/>
    <s v="Delivered"/>
    <x v="0"/>
    <s v="Wrong Item"/>
    <x v="54"/>
    <s v="Returned"/>
    <s v="Valid"/>
    <s v="Processed"/>
  </r>
  <r>
    <x v="192"/>
    <x v="51"/>
    <s v="Valid Q4"/>
    <s v="CUST_10197"/>
    <x v="1"/>
    <s v="BOT-LME-L"/>
    <x v="3"/>
    <s v="Lame Pants"/>
    <n v="2599"/>
    <n v="1"/>
    <s v="Valid Quantity"/>
    <n v="2599"/>
    <x v="35"/>
    <m/>
    <n v="0"/>
    <n v="0"/>
    <x v="1"/>
    <x v="0"/>
    <s v="Rajkot"/>
    <s v="Gujarat"/>
    <s v="Mumbai"/>
    <d v="2024-12-05T00:00:00"/>
    <s v="Valid Date"/>
    <s v="On time delivery"/>
    <s v="Delivered"/>
    <x v="1"/>
    <m/>
    <x v="2"/>
    <s v="Not Returned"/>
    <s v="Not returned"/>
    <s v="Not Applicable"/>
  </r>
  <r>
    <x v="193"/>
    <x v="52"/>
    <s v="Valid Q4"/>
    <s v="CUST_10198"/>
    <x v="0"/>
    <s v="OUT-SPK-M"/>
    <x v="0"/>
    <s v="Sparkle Jacket"/>
    <n v="5499"/>
    <n v="1"/>
    <s v="Valid Quantity"/>
    <n v="5499"/>
    <x v="24"/>
    <m/>
    <n v="0"/>
    <n v="0"/>
    <x v="4"/>
    <x v="2"/>
    <s v="Kanpur"/>
    <s v="Uttar Pradesh"/>
    <s v="Delhi"/>
    <d v="2024-12-08T00:00:00"/>
    <s v="Valid Date"/>
    <s v="On time delivery"/>
    <s v="Delivered"/>
    <x v="0"/>
    <s v="Changed Mind"/>
    <x v="55"/>
    <s v="Returned"/>
    <s v="Valid"/>
    <s v="Processed"/>
  </r>
  <r>
    <x v="194"/>
    <x v="52"/>
    <s v="Valid Q4"/>
    <s v="CUST_10199"/>
    <x v="0"/>
    <s v="ACC-CRY-OS"/>
    <x v="4"/>
    <s v="Crystal Bracelet"/>
    <n v="999"/>
    <n v="1"/>
    <s v="Valid Quantity"/>
    <n v="999"/>
    <x v="56"/>
    <m/>
    <n v="0"/>
    <n v="0"/>
    <x v="0"/>
    <x v="1"/>
    <s v="Mumbai"/>
    <s v="Maharashtra"/>
    <s v="Mumbai"/>
    <d v="2024-12-06T00:00:00"/>
    <s v="Valid Date"/>
    <s v="On time delivery"/>
    <s v="Delivered"/>
    <x v="1"/>
    <m/>
    <x v="2"/>
    <s v="Not Returned"/>
    <s v="Not returned"/>
    <s v="Not Applicable"/>
  </r>
  <r>
    <x v="195"/>
    <x v="52"/>
    <s v="Valid Q4"/>
    <s v="CUST_10200"/>
    <x v="0"/>
    <s v="TOP-SHR-L"/>
    <x v="1"/>
    <s v="Sheer Top"/>
    <n v="1699"/>
    <n v="1"/>
    <s v="Valid Quantity"/>
    <n v="1699"/>
    <x v="109"/>
    <s v="Nov-15"/>
    <n v="15"/>
    <n v="254.85"/>
    <x v="3"/>
    <x v="0"/>
    <s v="Delhi"/>
    <s v="Delhi"/>
    <s v="Delhi"/>
    <d v="2024-12-07T00:00:00"/>
    <s v="Valid Date"/>
    <s v="On time delivery"/>
    <s v="Delivered"/>
    <x v="0"/>
    <s v="Damaged in Transit"/>
    <x v="54"/>
    <s v="Returned"/>
    <s v="Valid"/>
    <s v="Processed"/>
  </r>
  <r>
    <x v="196"/>
    <x v="53"/>
    <s v="Valid Q4"/>
    <s v="CUST_10201"/>
    <x v="0"/>
    <s v="DRS-CHF-S"/>
    <x v="2"/>
    <s v="Chiffon Dress"/>
    <n v="2799"/>
    <n v="1"/>
    <s v="Valid Quantity"/>
    <n v="2799"/>
    <x v="9"/>
    <m/>
    <n v="0"/>
    <n v="0"/>
    <x v="1"/>
    <x v="2"/>
    <s v="Kolkata"/>
    <s v="West Bengal"/>
    <s v="Delhi"/>
    <d v="2024-12-09T00:00:00"/>
    <s v="Valid Date"/>
    <s v="On time delivery"/>
    <s v="Delivered"/>
    <x v="1"/>
    <m/>
    <x v="2"/>
    <s v="Not Returned"/>
    <s v="Not returned"/>
    <s v="Not Applicable"/>
  </r>
  <r>
    <x v="197"/>
    <x v="53"/>
    <s v="Valid Q4"/>
    <s v="CUST_10202"/>
    <x v="1"/>
    <s v="BOT-ORG-M"/>
    <x v="3"/>
    <s v="Organza Pants"/>
    <n v="2399"/>
    <n v="1"/>
    <s v="Valid Quantity"/>
    <n v="2399"/>
    <x v="16"/>
    <m/>
    <n v="0"/>
    <n v="0"/>
    <x v="2"/>
    <x v="1"/>
    <s v="Chennai"/>
    <s v="Tamil Nadu"/>
    <s v="Bangalore"/>
    <d v="2024-12-07T00:00:00"/>
    <s v="Valid Date"/>
    <s v="On time delivery"/>
    <s v="Delivered"/>
    <x v="0"/>
    <s v="Quality Defect"/>
    <x v="53"/>
    <s v="Returned"/>
    <s v="Valid"/>
    <s v="Processed"/>
  </r>
  <r>
    <x v="198"/>
    <x v="53"/>
    <s v="Valid Q4"/>
    <s v="CUST_10203"/>
    <x v="0"/>
    <s v="OUT-MET-L"/>
    <x v="0"/>
    <s v="Metallic Coat"/>
    <n v="6799"/>
    <n v="1"/>
    <s v="Valid Quantity"/>
    <n v="6799"/>
    <x v="130"/>
    <m/>
    <n v="0"/>
    <n v="0"/>
    <x v="3"/>
    <x v="0"/>
    <s v="Hyderabad"/>
    <s v="Telangana"/>
    <s v="Bangalore"/>
    <d v="2024-12-10T00:00:00"/>
    <s v="Valid Date"/>
    <s v="On time delivery"/>
    <s v="Delivered"/>
    <x v="0"/>
    <s v="Size Issue"/>
    <x v="56"/>
    <s v="Returned"/>
    <s v="Valid"/>
    <s v="Processed"/>
  </r>
  <r>
    <x v="199"/>
    <x v="54"/>
    <s v="Valid Q4"/>
    <s v="CUST_10204"/>
    <x v="0"/>
    <s v="ACC-DMD-OS"/>
    <x v="4"/>
    <s v="Diamond Studs"/>
    <n v="1499"/>
    <n v="1"/>
    <s v="Valid Quantity"/>
    <n v="1499"/>
    <x v="124"/>
    <s v="Nov-15"/>
    <n v="15"/>
    <n v="224.85"/>
    <x v="4"/>
    <x v="2"/>
    <s v="Pune"/>
    <s v="Maharashtra"/>
    <s v="Mumbai"/>
    <d v="2024-12-08T00:00:00"/>
    <s v="Valid Date"/>
    <s v="On time delivery"/>
    <s v="Delivered"/>
    <x v="1"/>
    <m/>
    <x v="2"/>
    <s v="Not Returned"/>
    <s v="Not returned"/>
    <s v="Not Applicable"/>
  </r>
  <r>
    <x v="200"/>
    <x v="54"/>
    <s v="Valid Q4"/>
    <s v="CUST_10205"/>
    <x v="0"/>
    <s v="TOP-BDS-M"/>
    <x v="1"/>
    <s v="Beaded Top"/>
    <n v="2299"/>
    <n v="1"/>
    <s v="Valid Quantity"/>
    <n v="2299"/>
    <x v="3"/>
    <m/>
    <n v="0"/>
    <n v="0"/>
    <x v="0"/>
    <x v="1"/>
    <s v="Ahmedabad"/>
    <s v="Gujarat"/>
    <s v="Mumbai"/>
    <d v="2024-12-09T00:00:00"/>
    <s v="Valid Date"/>
    <s v="On time delivery"/>
    <s v="Delivered"/>
    <x v="0"/>
    <s v="Wrong Item"/>
    <x v="57"/>
    <s v="Returned"/>
    <s v="Valid"/>
    <s v="Processed"/>
  </r>
  <r>
    <x v="201"/>
    <x v="54"/>
    <s v="Valid Q4"/>
    <s v="CUST_10206"/>
    <x v="0"/>
    <s v="DRS-SPL-L"/>
    <x v="2"/>
    <s v="Sparkle Gown"/>
    <n v="4999"/>
    <n v="1"/>
    <s v="Valid Quantity"/>
    <n v="4999"/>
    <x v="55"/>
    <m/>
    <n v="0"/>
    <n v="0"/>
    <x v="1"/>
    <x v="0"/>
    <s v="Jaipur"/>
    <s v="Rajasthan"/>
    <s v="Delhi"/>
    <d v="2024-12-11T00:00:00"/>
    <s v="Valid Date"/>
    <s v="On time delivery"/>
    <s v="Delivered"/>
    <x v="1"/>
    <m/>
    <x v="2"/>
    <s v="Not Returned"/>
    <s v="Not returned"/>
    <s v="Not Applicable"/>
  </r>
  <r>
    <x v="202"/>
    <x v="55"/>
    <s v="Valid Q4"/>
    <s v="CUST_10207"/>
    <x v="1"/>
    <s v="BOT-EMB-S"/>
    <x v="3"/>
    <s v="Embroidered Pants"/>
    <n v="2099"/>
    <n v="1"/>
    <s v="Valid Quantity"/>
    <n v="2099"/>
    <x v="114"/>
    <m/>
    <n v="0"/>
    <n v="0"/>
    <x v="3"/>
    <x v="2"/>
    <s v="Lucknow"/>
    <s v="Uttar Pradesh"/>
    <s v="Delhi"/>
    <d v="2024-12-09T00:00:00"/>
    <s v="Valid Date"/>
    <s v="On time delivery"/>
    <s v="Delivered"/>
    <x v="0"/>
    <s v="Changed Mind"/>
    <x v="55"/>
    <s v="Returned"/>
    <s v="Valid"/>
    <s v="Processed"/>
  </r>
  <r>
    <x v="203"/>
    <x v="55"/>
    <s v="Valid Q4"/>
    <s v="CUST_10208"/>
    <x v="0"/>
    <s v="OUT-NYE-M"/>
    <x v="0"/>
    <s v="NYE Jacket"/>
    <n v="5799"/>
    <n v="1"/>
    <s v="Valid Quantity"/>
    <n v="5799"/>
    <x v="131"/>
    <s v="Nov-15"/>
    <n v="15"/>
    <n v="869.85"/>
    <x v="2"/>
    <x v="1"/>
    <s v="Bangalore"/>
    <s v="Karnataka"/>
    <s v="Bangalore"/>
    <d v="2024-12-12T00:00:00"/>
    <s v="Valid Date"/>
    <s v="On time delivery"/>
    <s v="Delivered"/>
    <x v="0"/>
    <s v="Size Issue"/>
    <x v="58"/>
    <s v="Returned"/>
    <s v="Valid"/>
    <s v="Processed"/>
  </r>
  <r>
    <x v="204"/>
    <x v="55"/>
    <s v="Valid Q4"/>
    <s v="CUST_10209"/>
    <x v="0"/>
    <s v="ACC-GLD-OS"/>
    <x v="4"/>
    <s v="Gold Cuff"/>
    <n v="1199"/>
    <n v="1"/>
    <s v="Valid Quantity"/>
    <n v="1199"/>
    <x v="132"/>
    <m/>
    <n v="0"/>
    <n v="0"/>
    <x v="1"/>
    <x v="0"/>
    <s v="Mumbai"/>
    <s v="Maharashtra"/>
    <s v="Mumbai"/>
    <d v="2024-12-10T00:00:00"/>
    <s v="Valid Date"/>
    <s v="On time delivery"/>
    <s v="Delivered"/>
    <x v="1"/>
    <m/>
    <x v="2"/>
    <s v="Not Returned"/>
    <s v="Not returned"/>
    <s v="Not Applicable"/>
  </r>
  <r>
    <x v="205"/>
    <x v="56"/>
    <s v="Valid Q4"/>
    <s v="CUST_10210"/>
    <x v="0"/>
    <s v="TOP-FTR-S"/>
    <x v="1"/>
    <s v="Feather Top"/>
    <n v="1899"/>
    <n v="1"/>
    <s v="Valid Quantity"/>
    <n v="1899"/>
    <x v="23"/>
    <m/>
    <n v="0"/>
    <n v="0"/>
    <x v="4"/>
    <x v="2"/>
    <s v="Delhi"/>
    <s v="Delhi"/>
    <s v="Delhi"/>
    <d v="2024-12-11T00:00:00"/>
    <s v="Valid Date"/>
    <s v="On time delivery"/>
    <s v="Delivered"/>
    <x v="0"/>
    <s v="Damaged in Transit"/>
    <x v="56"/>
    <s v="Returned"/>
    <s v="Valid"/>
    <s v="Processed"/>
  </r>
  <r>
    <x v="206"/>
    <x v="56"/>
    <s v="Valid Q4"/>
    <s v="CUST_10211"/>
    <x v="0"/>
    <s v="DRS-CCK-M"/>
    <x v="2"/>
    <s v="Cocktail Dress"/>
    <n v="3699"/>
    <n v="1"/>
    <s v="Valid Quantity"/>
    <n v="3699"/>
    <x v="133"/>
    <m/>
    <n v="0"/>
    <n v="0"/>
    <x v="0"/>
    <x v="1"/>
    <s v="Chandigarh"/>
    <s v="Punjab"/>
    <s v="Delhi"/>
    <d v="2024-12-13T00:00:00"/>
    <s v="Valid Date"/>
    <s v="On time delivery"/>
    <s v="Delivered"/>
    <x v="1"/>
    <m/>
    <x v="2"/>
    <s v="Not Returned"/>
    <s v="Not returned"/>
    <s v="Not Applicable"/>
  </r>
  <r>
    <x v="207"/>
    <x v="56"/>
    <s v="Valid Q4"/>
    <s v="CUST_10212"/>
    <x v="1"/>
    <s v="BOT-SQN-L"/>
    <x v="3"/>
    <s v="Sequin Skirt"/>
    <n v="2699"/>
    <n v="1"/>
    <s v="Valid Quantity"/>
    <n v="2699"/>
    <x v="134"/>
    <s v="Nov-15"/>
    <n v="15"/>
    <n v="404.85"/>
    <x v="3"/>
    <x v="0"/>
    <s v="Noida"/>
    <s v="Uttar Pradesh"/>
    <s v="Delhi"/>
    <d v="2024-12-11T00:00:00"/>
    <s v="Valid Date"/>
    <s v="On time delivery"/>
    <s v="Delivered"/>
    <x v="0"/>
    <s v="Quality Defect"/>
    <x v="59"/>
    <s v="Returned"/>
    <s v="Valid"/>
    <s v="Processed"/>
  </r>
  <r>
    <x v="208"/>
    <x v="57"/>
    <s v="Valid Q4"/>
    <s v="CUST_10213"/>
    <x v="0"/>
    <s v="OUT-PRT-M"/>
    <x v="0"/>
    <s v="Party Jacket"/>
    <n v="4999"/>
    <n v="1"/>
    <s v="Valid Quantity"/>
    <n v="4999"/>
    <x v="55"/>
    <m/>
    <n v="0"/>
    <n v="0"/>
    <x v="1"/>
    <x v="2"/>
    <s v="Gurgaon"/>
    <s v="Haryana"/>
    <s v="Delhi"/>
    <d v="2024-12-14T00:00:00"/>
    <s v="Valid Date"/>
    <s v="On time delivery"/>
    <s v="Delivered"/>
    <x v="0"/>
    <s v="Size Issue"/>
    <x v="60"/>
    <s v="Returned"/>
    <s v="Valid"/>
    <s v="Processed"/>
  </r>
  <r>
    <x v="209"/>
    <x v="57"/>
    <s v="Valid Q4"/>
    <s v="CUST_10214"/>
    <x v="0"/>
    <s v="ACC-SLV-OS"/>
    <x v="4"/>
    <s v="Silver Bangle"/>
    <n v="899"/>
    <n v="2"/>
    <s v="Valid Quantity"/>
    <n v="1798"/>
    <x v="25"/>
    <m/>
    <n v="0"/>
    <n v="0"/>
    <x v="2"/>
    <x v="1"/>
    <s v="Indore"/>
    <s v="Madhya Pradesh"/>
    <s v="Mumbai"/>
    <d v="2024-12-12T00:00:00"/>
    <s v="Valid Date"/>
    <s v="On time delivery"/>
    <s v="Delivered"/>
    <x v="1"/>
    <m/>
    <x v="2"/>
    <s v="Not Returned"/>
    <s v="Not returned"/>
    <s v="Not Applicable"/>
  </r>
  <r>
    <x v="210"/>
    <x v="57"/>
    <s v="Valid Q4"/>
    <s v="CUST_10215"/>
    <x v="0"/>
    <s v="TOP-GLT-L"/>
    <x v="1"/>
    <s v="Glitter Tank"/>
    <n v="1599"/>
    <n v="1"/>
    <s v="Valid Quantity"/>
    <n v="1599"/>
    <x v="28"/>
    <m/>
    <n v="0"/>
    <n v="0"/>
    <x v="3"/>
    <x v="0"/>
    <s v="Surat"/>
    <s v="Gujarat"/>
    <s v="Mumbai"/>
    <d v="2024-12-13T00:00:00"/>
    <s v="Valid Date"/>
    <s v="On time delivery"/>
    <s v="Delivered"/>
    <x v="0"/>
    <s v="Wrong Item"/>
    <x v="58"/>
    <s v="Returned"/>
    <s v="Valid"/>
    <s v="Processed"/>
  </r>
  <r>
    <x v="211"/>
    <x v="58"/>
    <s v="Valid Q4"/>
    <s v="CUST_10216"/>
    <x v="0"/>
    <s v="DRS-STR-S"/>
    <x v="2"/>
    <s v="Star Print Dress"/>
    <n v="2599"/>
    <n v="1"/>
    <s v="Valid Quantity"/>
    <n v="2599"/>
    <x v="135"/>
    <s v="Nov-15"/>
    <n v="15"/>
    <n v="389.85"/>
    <x v="4"/>
    <x v="2"/>
    <s v="Patna"/>
    <s v="Bihar"/>
    <s v="Delhi"/>
    <d v="2024-12-15T00:00:00"/>
    <s v="Valid Date"/>
    <s v="On time delivery"/>
    <s v="Delivered"/>
    <x v="1"/>
    <m/>
    <x v="2"/>
    <s v="Not Returned"/>
    <s v="Not returned"/>
    <s v="Not Applicable"/>
  </r>
  <r>
    <x v="212"/>
    <x v="58"/>
    <s v="Valid Q4"/>
    <s v="CUST_10217"/>
    <x v="1"/>
    <s v="BOT-MTL-M"/>
    <x v="3"/>
    <s v="Metallic Pants"/>
    <n v="2399"/>
    <n v="1"/>
    <s v="Valid Quantity"/>
    <n v="2399"/>
    <x v="16"/>
    <m/>
    <n v="0"/>
    <n v="0"/>
    <x v="0"/>
    <x v="1"/>
    <s v="Bhopal"/>
    <s v="Madhya Pradesh"/>
    <s v="Mumbai"/>
    <d v="2024-12-13T00:00:00"/>
    <s v="Valid Date"/>
    <s v="On time delivery"/>
    <s v="Delivered"/>
    <x v="0"/>
    <s v="Changed Mind"/>
    <x v="61"/>
    <s v="Returned"/>
    <s v="Valid"/>
    <s v="Processed"/>
  </r>
  <r>
    <x v="213"/>
    <x v="58"/>
    <s v="Valid Q4"/>
    <s v="CUST_10218"/>
    <x v="0"/>
    <s v="OUT-FRM-L"/>
    <x v="0"/>
    <s v="Formal Coat"/>
    <n v="6499"/>
    <n v="1"/>
    <s v="Valid Quantity"/>
    <n v="6499"/>
    <x v="136"/>
    <m/>
    <n v="0"/>
    <n v="0"/>
    <x v="1"/>
    <x v="0"/>
    <s v="Nagpur"/>
    <s v="Maharashtra"/>
    <s v="Mumbai"/>
    <d v="2024-12-16T00:00:00"/>
    <s v="Valid Date"/>
    <s v="On time delivery"/>
    <s v="Delivered"/>
    <x v="0"/>
    <s v="Size Issue"/>
    <x v="62"/>
    <s v="Returned"/>
    <s v="Valid"/>
    <s v="Processed"/>
  </r>
  <r>
    <x v="214"/>
    <x v="59"/>
    <s v="Valid Q4"/>
    <s v="CUST_10219"/>
    <x v="0"/>
    <s v="ACC-RBN-OS"/>
    <x v="4"/>
    <s v="Ribbon Choker"/>
    <n v="499"/>
    <n v="2"/>
    <s v="Valid Quantity"/>
    <n v="998"/>
    <x v="128"/>
    <m/>
    <n v="0"/>
    <n v="0"/>
    <x v="3"/>
    <x v="2"/>
    <s v="Coimbatore"/>
    <s v="Tamil Nadu"/>
    <s v="Bangalore"/>
    <d v="2024-12-14T00:00:00"/>
    <s v="Valid Date"/>
    <s v="On time delivery"/>
    <s v="Delivered"/>
    <x v="1"/>
    <m/>
    <x v="2"/>
    <s v="Not Returned"/>
    <s v="Not returned"/>
    <s v="Not Applicable"/>
  </r>
  <r>
    <x v="215"/>
    <x v="59"/>
    <s v="Valid Q4"/>
    <s v="CUST_10220"/>
    <x v="0"/>
    <s v="TOP-VNY-M"/>
    <x v="1"/>
    <s v="Vinyl Top"/>
    <n v="1999"/>
    <n v="1"/>
    <s v="Valid Quantity"/>
    <n v="1999"/>
    <x v="72"/>
    <m/>
    <n v="0"/>
    <n v="0"/>
    <x v="2"/>
    <x v="1"/>
    <s v="Kochi"/>
    <s v="Kerala"/>
    <s v="Bangalore"/>
    <m/>
    <s v="Not Delivered"/>
    <s v="Not delivered"/>
    <s v="RTO"/>
    <x v="1"/>
    <m/>
    <x v="2"/>
    <s v="Not Delivered"/>
    <s v="Not returned"/>
    <s v="Not Applicable"/>
  </r>
  <r>
    <x v="216"/>
    <x v="59"/>
    <s v="Valid Q4"/>
    <s v="CUST_10221"/>
    <x v="0"/>
    <s v="DRS-NYE-L"/>
    <x v="2"/>
    <s v="New Year Gown"/>
    <n v="5499"/>
    <n v="1"/>
    <s v="Valid Quantity"/>
    <n v="5499"/>
    <x v="59"/>
    <s v="Nov-15"/>
    <n v="15"/>
    <n v="824.85"/>
    <x v="1"/>
    <x v="0"/>
    <s v="Vizag"/>
    <s v="Andhra Pradesh"/>
    <s v="Bangalore"/>
    <d v="2024-12-17T00:00:00"/>
    <s v="Valid Date"/>
    <s v="On time delivery"/>
    <s v="Delivered"/>
    <x v="0"/>
    <s v="Quality Defect"/>
    <x v="63"/>
    <s v="Returned"/>
    <s v="Valid"/>
    <s v="Processed"/>
  </r>
  <r>
    <x v="217"/>
    <x v="60"/>
    <s v="Valid Q4"/>
    <s v="CUST_10222"/>
    <x v="1"/>
    <s v="BOT-LTX-S"/>
    <x v="3"/>
    <s v="Latex Pants"/>
    <n v="2799"/>
    <n v="1"/>
    <s v="Valid Quantity"/>
    <n v="2799"/>
    <x v="9"/>
    <m/>
    <n v="0"/>
    <n v="0"/>
    <x v="4"/>
    <x v="2"/>
    <s v="Thiruvananthapuram"/>
    <s v="Kerala"/>
    <s v="Bangalore"/>
    <d v="2024-12-15T00:00:00"/>
    <s v="Valid Date"/>
    <s v="On time delivery"/>
    <s v="Delivered"/>
    <x v="1"/>
    <m/>
    <x v="2"/>
    <s v="Not Returned"/>
    <s v="Not returned"/>
    <s v="Not Applicable"/>
  </r>
  <r>
    <x v="218"/>
    <x v="60"/>
    <s v="Valid Q4"/>
    <s v="CUST_10223"/>
    <x v="0"/>
    <s v="OUT-GLM-M"/>
    <x v="0"/>
    <s v="Glam Jacket"/>
    <n v="5299"/>
    <n v="1"/>
    <s v="Valid Quantity"/>
    <n v="5299"/>
    <x v="137"/>
    <m/>
    <n v="0"/>
    <n v="0"/>
    <x v="0"/>
    <x v="1"/>
    <s v="Mysore"/>
    <s v="Karnataka"/>
    <s v="Bangalore"/>
    <d v="2024-12-18T00:00:00"/>
    <s v="Valid Date"/>
    <s v="On time delivery"/>
    <s v="Delivered"/>
    <x v="0"/>
    <s v="Damaged in Transit"/>
    <x v="64"/>
    <s v="Returned"/>
    <s v="Valid"/>
    <s v="Processed"/>
  </r>
  <r>
    <x v="219"/>
    <x v="60"/>
    <s v="Valid Q4"/>
    <s v="CUST_10224"/>
    <x v="0"/>
    <s v="ACC-GEM-OS"/>
    <x v="4"/>
    <s v="Gemstone Ring"/>
    <n v="1099"/>
    <n v="1"/>
    <s v="Valid Quantity"/>
    <n v="1099"/>
    <x v="22"/>
    <m/>
    <n v="0"/>
    <n v="0"/>
    <x v="3"/>
    <x v="0"/>
    <s v="Vadodara"/>
    <s v="Gujarat"/>
    <s v="Mumbai"/>
    <d v="2024-12-16T00:00:00"/>
    <s v="Valid Date"/>
    <s v="On time delivery"/>
    <s v="Delivered"/>
    <x v="0"/>
    <s v="Size Issue"/>
    <x v="62"/>
    <s v="Returned"/>
    <s v="Valid"/>
    <s v="Processed"/>
  </r>
  <r>
    <x v="220"/>
    <x v="61"/>
    <s v="Valid Q4"/>
    <s v="CUST_10225"/>
    <x v="0"/>
    <s v="TOP-HOD-L"/>
    <x v="1"/>
    <s v="Zip Hoodie"/>
    <n v="2499"/>
    <n v="1"/>
    <s v="Valid Quantity"/>
    <n v="2499"/>
    <x v="138"/>
    <s v="Dec-20"/>
    <n v="20"/>
    <n v="499.8"/>
    <x v="1"/>
    <x v="2"/>
    <s v="Mumbai"/>
    <s v="Maharashtra"/>
    <s v="Mumbai"/>
    <d v="2024-12-06T00:00:00"/>
    <s v="Valid Date"/>
    <s v="On time delivery"/>
    <s v="Delivered"/>
    <x v="1"/>
    <m/>
    <x v="2"/>
    <s v="Not Returned"/>
    <s v="Not returned"/>
    <s v="Not Applicable"/>
  </r>
  <r>
    <x v="221"/>
    <x v="61"/>
    <s v="Valid Q4"/>
    <s v="CUST_10226"/>
    <x v="0"/>
    <s v="OUT-COT-M"/>
    <x v="0"/>
    <s v="Puffer Coat"/>
    <n v="6499"/>
    <n v="1"/>
    <s v="Valid Quantity"/>
    <n v="6499"/>
    <x v="139"/>
    <s v="Dec-20"/>
    <n v="20"/>
    <n v="1299.8"/>
    <x v="2"/>
    <x v="1"/>
    <s v="Delhi"/>
    <s v="Delhi"/>
    <s v="Delhi"/>
    <d v="2024-12-08T00:00:00"/>
    <s v="Valid Date"/>
    <s v="On time delivery"/>
    <s v="Delivered"/>
    <x v="0"/>
    <s v="Changed Mind"/>
    <x v="46"/>
    <s v="Returned"/>
    <s v="Valid"/>
    <s v="Pending"/>
  </r>
  <r>
    <x v="222"/>
    <x v="61"/>
    <s v="Valid Q4"/>
    <s v="CUST_10227"/>
    <x v="1"/>
    <s v="ACC-MFL-OS"/>
    <x v="4"/>
    <s v="Cashmere Scarf"/>
    <n v="1499"/>
    <n v="1"/>
    <s v="Valid Quantity"/>
    <n v="1499"/>
    <x v="43"/>
    <m/>
    <n v="0"/>
    <n v="0"/>
    <x v="3"/>
    <x v="0"/>
    <s v="Chandigarh"/>
    <s v="Punjab"/>
    <s v="Delhi"/>
    <d v="2024-12-07T00:00:00"/>
    <s v="Valid Date"/>
    <s v="On time delivery"/>
    <s v="Delivered"/>
    <x v="1"/>
    <m/>
    <x v="2"/>
    <s v="Not Returned"/>
    <s v="Not returned"/>
    <s v="Not Applicable"/>
  </r>
  <r>
    <x v="223"/>
    <x v="61"/>
    <s v="Valid Q4"/>
    <s v="CUST_10228"/>
    <x v="0"/>
    <s v="DRS-PLT-M"/>
    <x v="2"/>
    <s v="Pleated Dress"/>
    <n v="2899"/>
    <n v="1"/>
    <s v="Valid Quantity"/>
    <n v="2899"/>
    <x v="140"/>
    <s v="Dec-20"/>
    <n v="20"/>
    <n v="579.79999999999995"/>
    <x v="0"/>
    <x v="2"/>
    <s v="Amritsar"/>
    <s v="Punjab"/>
    <s v="Delhi"/>
    <d v="2024-12-09T00:00:00"/>
    <s v="Valid Date"/>
    <s v="On time delivery"/>
    <s v="Delivered"/>
    <x v="0"/>
    <s v="Size Issue"/>
    <x v="49"/>
    <s v="Returned"/>
    <s v="Valid"/>
    <s v="Processed"/>
  </r>
  <r>
    <x v="224"/>
    <x v="62"/>
    <s v="Valid Q4"/>
    <s v="CUST_10229"/>
    <x v="0"/>
    <s v="TOP-THR-L"/>
    <x v="1"/>
    <s v="Thermal Top"/>
    <n v="1599"/>
    <n v="2"/>
    <s v="Valid Quantity"/>
    <n v="3198"/>
    <x v="1"/>
    <m/>
    <n v="0"/>
    <n v="0"/>
    <x v="1"/>
    <x v="1"/>
    <s v="Shimla"/>
    <s v="Himachal Pradesh"/>
    <s v="Delhi"/>
    <d v="2024-12-09T00:00:00"/>
    <s v="Valid Date"/>
    <s v="On time delivery"/>
    <s v="Delivered"/>
    <x v="1"/>
    <m/>
    <x v="2"/>
    <s v="Not Returned"/>
    <s v="Not returned"/>
    <s v="Not Applicable"/>
  </r>
  <r>
    <x v="225"/>
    <x v="62"/>
    <s v="Valid Q4"/>
    <s v="CUST_10230"/>
    <x v="0"/>
    <s v="BOT-FLC-M"/>
    <x v="3"/>
    <s v="Fleece Joggers"/>
    <n v="1799"/>
    <n v="1"/>
    <s v="Valid Quantity"/>
    <n v="1799"/>
    <x v="71"/>
    <s v="Dec-20"/>
    <n v="20"/>
    <n v="359.8"/>
    <x v="4"/>
    <x v="0"/>
    <s v="Dehradun"/>
    <s v="Uttarakhand"/>
    <s v="Delhi"/>
    <d v="2024-12-10T00:00:00"/>
    <s v="Valid Date"/>
    <s v="On time delivery"/>
    <s v="Delivered"/>
    <x v="1"/>
    <m/>
    <x v="2"/>
    <s v="Not Returned"/>
    <s v="Not returned"/>
    <s v="Not Applicable"/>
  </r>
  <r>
    <x v="226"/>
    <x v="62"/>
    <s v="Valid Q4"/>
    <s v="CUST_10231"/>
    <x v="0"/>
    <s v="OUT-WND-L"/>
    <x v="0"/>
    <s v="Windbreaker"/>
    <n v="3299"/>
    <n v="1"/>
    <s v="Valid Quantity"/>
    <n v="3299"/>
    <x v="6"/>
    <m/>
    <n v="0"/>
    <n v="0"/>
    <x v="3"/>
    <x v="2"/>
    <s v="Srinagar"/>
    <s v="Jammu &amp; Kashmir"/>
    <s v="Delhi"/>
    <d v="2024-12-11T00:00:00"/>
    <s v="Valid Date"/>
    <s v="On time delivery"/>
    <s v="Delivered"/>
    <x v="0"/>
    <s v="Wrong Item"/>
    <x v="51"/>
    <s v="Returned"/>
    <s v="Valid"/>
    <s v="Pending"/>
  </r>
  <r>
    <x v="227"/>
    <x v="62"/>
    <s v="Valid Q4"/>
    <s v="CUST_10232"/>
    <x v="1"/>
    <s v="ACC-BNE-OS"/>
    <x v="4"/>
    <s v="Beanie Cap"/>
    <n v="599"/>
    <n v="2"/>
    <s v="Valid Quantity"/>
    <n v="1198"/>
    <x v="141"/>
    <s v="Dec-20"/>
    <n v="20"/>
    <n v="239.6"/>
    <x v="2"/>
    <x v="1"/>
    <s v="Manali"/>
    <s v="Himachal Pradesh"/>
    <s v="Delhi"/>
    <d v="2024-12-10T00:00:00"/>
    <s v="Valid Date"/>
    <s v="On time delivery"/>
    <s v="Delivered"/>
    <x v="1"/>
    <m/>
    <x v="2"/>
    <s v="Not Returned"/>
    <s v="Not returned"/>
    <s v="Not Applicable"/>
  </r>
  <r>
    <x v="228"/>
    <x v="63"/>
    <s v="Valid Q4"/>
    <s v="CUST_10233"/>
    <x v="0"/>
    <s v="TOP-SWT-S"/>
    <x v="1"/>
    <s v="Cropped Sweater"/>
    <n v="2199"/>
    <n v="1"/>
    <s v="Valid Quantity"/>
    <n v="2199"/>
    <x v="48"/>
    <m/>
    <n v="0"/>
    <n v="0"/>
    <x v="0"/>
    <x v="0"/>
    <s v="Darjeeling"/>
    <s v="West Bengal"/>
    <s v="Delhi"/>
    <d v="2024-12-12T00:00:00"/>
    <s v="Valid Date"/>
    <s v="On time delivery"/>
    <s v="Delivered"/>
    <x v="0"/>
    <s v="Size Issue"/>
    <x v="52"/>
    <s v="Returned"/>
    <s v="Valid"/>
    <s v="Processed"/>
  </r>
  <r>
    <x v="229"/>
    <x v="63"/>
    <s v="Valid Q4"/>
    <s v="CUST_10234"/>
    <x v="0"/>
    <s v="DRS-WRM-M"/>
    <x v="2"/>
    <s v="Wrap Dress"/>
    <n v="2499"/>
    <n v="1"/>
    <s v="Valid Quantity"/>
    <n v="2499"/>
    <x v="138"/>
    <s v="Dec-20"/>
    <n v="20"/>
    <n v="499.8"/>
    <x v="1"/>
    <x v="2"/>
    <s v="Gangtok"/>
    <s v="Sikkim"/>
    <s v="Delhi"/>
    <d v="2024-12-12T00:00:00"/>
    <s v="Valid Date"/>
    <s v="On time delivery"/>
    <s v="Delivered"/>
    <x v="1"/>
    <m/>
    <x v="2"/>
    <s v="Not Returned"/>
    <s v="Not returned"/>
    <s v="Not Applicable"/>
  </r>
  <r>
    <x v="230"/>
    <x v="63"/>
    <s v="Valid Q4"/>
    <s v="CUST_10235"/>
    <x v="0"/>
    <s v="BOT-WOL-L"/>
    <x v="3"/>
    <s v="Wool Trousers"/>
    <n v="2999"/>
    <n v="1"/>
    <s v="Valid Quantity"/>
    <n v="2999"/>
    <x v="27"/>
    <m/>
    <n v="0"/>
    <n v="0"/>
    <x v="3"/>
    <x v="1"/>
    <s v="Shillong"/>
    <s v="Meghalaya"/>
    <s v="Delhi"/>
    <d v="2024-12-14T00:00:00"/>
    <s v="Valid Date"/>
    <s v="On time delivery"/>
    <s v="Delivered"/>
    <x v="0"/>
    <s v="Quality Defect"/>
    <x v="54"/>
    <s v="Returned"/>
    <s v="Valid"/>
    <s v="Processed"/>
  </r>
  <r>
    <x v="231"/>
    <x v="63"/>
    <s v="Valid Q4"/>
    <s v="CUST_10236"/>
    <x v="0"/>
    <s v="OUT-DWN-M"/>
    <x v="0"/>
    <s v="Down Jacket"/>
    <n v="7999"/>
    <n v="1"/>
    <s v="Valid Quantity"/>
    <n v="7999"/>
    <x v="142"/>
    <s v="Dec-20"/>
    <n v="20"/>
    <n v="1599.8"/>
    <x v="4"/>
    <x v="0"/>
    <s v="Leh"/>
    <s v="Ladakh"/>
    <s v="Delhi"/>
    <d v="2024-12-14T00:00:00"/>
    <s v="Valid Date"/>
    <s v="On time delivery"/>
    <s v="Delivered"/>
    <x v="1"/>
    <m/>
    <x v="2"/>
    <s v="Not Returned"/>
    <s v="Not returned"/>
    <s v="Not Applicable"/>
  </r>
  <r>
    <x v="232"/>
    <x v="64"/>
    <s v="Valid Q4"/>
    <s v="CUST_10237"/>
    <x v="1"/>
    <s v="TOP-VLV-S"/>
    <x v="1"/>
    <s v="Velvet Top"/>
    <n v="1999"/>
    <n v="1"/>
    <s v="Valid Quantity"/>
    <n v="1999"/>
    <x v="72"/>
    <m/>
    <n v="0"/>
    <n v="0"/>
    <x v="1"/>
    <x v="2"/>
    <s v="Ooty"/>
    <s v="Tamil Nadu"/>
    <s v="Bangalore"/>
    <d v="2024-12-13T00:00:00"/>
    <s v="Valid Date"/>
    <s v="On time delivery"/>
    <s v="Delivered"/>
    <x v="1"/>
    <m/>
    <x v="2"/>
    <s v="Not Returned"/>
    <s v="Not returned"/>
    <s v="Not Applicable"/>
  </r>
  <r>
    <x v="233"/>
    <x v="64"/>
    <s v="Valid Q4"/>
    <s v="CUST_10238"/>
    <x v="0"/>
    <s v="ACC-ERM-OS"/>
    <x v="4"/>
    <s v="Ear Muffs"/>
    <n v="499"/>
    <n v="2"/>
    <s v="Valid Quantity"/>
    <n v="998"/>
    <x v="143"/>
    <s v="Dec-20"/>
    <n v="20"/>
    <n v="199.6"/>
    <x v="2"/>
    <x v="1"/>
    <s v="Munnar"/>
    <s v="Kerala"/>
    <s v="Bangalore"/>
    <d v="2024-12-13T00:00:00"/>
    <s v="Valid Date"/>
    <s v="On time delivery"/>
    <s v="Delivered"/>
    <x v="1"/>
    <m/>
    <x v="2"/>
    <s v="Not Returned"/>
    <s v="Not returned"/>
    <s v="Not Applicable"/>
  </r>
  <r>
    <x v="234"/>
    <x v="64"/>
    <s v="Valid Q4"/>
    <s v="CUST_10239"/>
    <x v="0"/>
    <s v="DRS-NYE-S"/>
    <x v="2"/>
    <s v="Sequin Party Dress"/>
    <n v="4999"/>
    <n v="1"/>
    <s v="Valid Quantity"/>
    <n v="4999"/>
    <x v="55"/>
    <m/>
    <n v="0"/>
    <n v="0"/>
    <x v="0"/>
    <x v="0"/>
    <s v="Goa"/>
    <s v="Goa"/>
    <s v="Mumbai"/>
    <d v="2024-12-14T00:00:00"/>
    <s v="Valid Date"/>
    <s v="On time delivery"/>
    <s v="Delivered"/>
    <x v="0"/>
    <s v="Size Issue"/>
    <x v="55"/>
    <s v="Returned"/>
    <s v="Valid"/>
    <s v="Processed"/>
  </r>
  <r>
    <x v="235"/>
    <x v="64"/>
    <s v="Valid Q4"/>
    <s v="CUST_10240"/>
    <x v="0"/>
    <s v="TOP-SPK-M"/>
    <x v="1"/>
    <s v="Sparkle Top"/>
    <n v="2299"/>
    <n v="1"/>
    <s v="Valid Quantity"/>
    <n v="2299"/>
    <x v="144"/>
    <s v="Dec-20"/>
    <n v="20"/>
    <n v="459.8"/>
    <x v="3"/>
    <x v="2"/>
    <s v="Mumbai"/>
    <s v="Maharashtra"/>
    <s v="Mumbai"/>
    <d v="2024-12-13T00:00:00"/>
    <s v="Valid Date"/>
    <s v="On time delivery"/>
    <s v="Delivered"/>
    <x v="1"/>
    <m/>
    <x v="2"/>
    <s v="Not Returned"/>
    <s v="Not returned"/>
    <s v="Not Applicable"/>
  </r>
  <r>
    <x v="236"/>
    <x v="65"/>
    <s v="Valid Q4"/>
    <s v="CUST_10241"/>
    <x v="0"/>
    <s v="BOT-VLV-S"/>
    <x v="3"/>
    <s v="Velvet Pants"/>
    <n v="2599"/>
    <n v="1"/>
    <s v="Valid Quantity"/>
    <n v="2599"/>
    <x v="35"/>
    <m/>
    <n v="0"/>
    <n v="0"/>
    <x v="1"/>
    <x v="1"/>
    <s v="Bangalore"/>
    <s v="Karnataka"/>
    <s v="Bangalore"/>
    <d v="2024-12-15T00:00:00"/>
    <s v="Valid Date"/>
    <s v="On time delivery"/>
    <s v="Delivered"/>
    <x v="0"/>
    <s v="Changed Mind"/>
    <x v="56"/>
    <s v="Returned"/>
    <s v="Valid"/>
    <s v="Processed"/>
  </r>
  <r>
    <x v="237"/>
    <x v="65"/>
    <s v="Valid Q4"/>
    <s v="CUST_10242"/>
    <x v="1"/>
    <s v="OUT-FUR-L"/>
    <x v="0"/>
    <s v="Faux Fur Coat"/>
    <n v="8999"/>
    <n v="1"/>
    <s v="Valid Quantity"/>
    <n v="8999"/>
    <x v="145"/>
    <s v="Dec-20"/>
    <n v="20"/>
    <n v="1799.8"/>
    <x v="4"/>
    <x v="0"/>
    <s v="Delhi"/>
    <s v="Delhi"/>
    <s v="Delhi"/>
    <d v="2024-12-17T00:00:00"/>
    <s v="Valid Date"/>
    <s v="On time delivery"/>
    <s v="Delivered"/>
    <x v="0"/>
    <s v="Size Issue"/>
    <x v="58"/>
    <s v="Returned"/>
    <s v="Valid"/>
    <s v="Pending"/>
  </r>
  <r>
    <x v="238"/>
    <x v="65"/>
    <s v="Valid Q4"/>
    <s v="CUST_10243"/>
    <x v="0"/>
    <s v="ACC-CLT-OS"/>
    <x v="4"/>
    <s v="Evening Clutch"/>
    <n v="1799"/>
    <n v="1"/>
    <s v="Valid Quantity"/>
    <n v="1799"/>
    <x v="30"/>
    <m/>
    <n v="0"/>
    <n v="0"/>
    <x v="3"/>
    <x v="2"/>
    <s v="Hyderabad"/>
    <s v="Telangana"/>
    <s v="Bangalore"/>
    <d v="2024-12-16T00:00:00"/>
    <s v="Valid Date"/>
    <s v="On time delivery"/>
    <s v="Delivered"/>
    <x v="1"/>
    <m/>
    <x v="2"/>
    <s v="Not Returned"/>
    <s v="Not returned"/>
    <s v="Not Applicable"/>
  </r>
  <r>
    <x v="239"/>
    <x v="65"/>
    <s v="Valid Q4"/>
    <s v="CUST_10244"/>
    <x v="0"/>
    <s v="TOP-MET-S"/>
    <x v="1"/>
    <s v="Metallic Blouse"/>
    <n v="2199"/>
    <n v="1"/>
    <s v="Valid Quantity"/>
    <n v="2199"/>
    <x v="48"/>
    <m/>
    <n v="0"/>
    <n v="0"/>
    <x v="0"/>
    <x v="1"/>
    <s v="Chennai"/>
    <s v="Tamil Nadu"/>
    <s v="Bangalore"/>
    <d v="2024-12-16T00:00:00"/>
    <s v="Valid Date"/>
    <s v="On time delivery"/>
    <s v="Delivered"/>
    <x v="1"/>
    <m/>
    <x v="2"/>
    <s v="Not Returned"/>
    <s v="Not returned"/>
    <s v="Not Applicable"/>
  </r>
  <r>
    <x v="240"/>
    <x v="66"/>
    <s v="Valid Q4"/>
    <s v="CUST_10245"/>
    <x v="0"/>
    <s v="DRS-GLT-M"/>
    <x v="2"/>
    <s v="Glitter Dress"/>
    <n v="3799"/>
    <n v="1"/>
    <s v="Valid Quantity"/>
    <n v="3799"/>
    <x v="146"/>
    <s v="Dec-20"/>
    <n v="20"/>
    <n v="759.8"/>
    <x v="2"/>
    <x v="0"/>
    <s v="Pune"/>
    <s v="Maharashtra"/>
    <s v="Mumbai"/>
    <d v="2024-12-18T00:00:00"/>
    <s v="Valid Date"/>
    <s v="On time delivery"/>
    <s v="Delivered"/>
    <x v="0"/>
    <s v="Quality Defect"/>
    <x v="60"/>
    <s v="Returned"/>
    <s v="Valid"/>
    <s v="Processed"/>
  </r>
  <r>
    <x v="241"/>
    <x v="66"/>
    <s v="Valid Q4"/>
    <s v="CUST_10246"/>
    <x v="0"/>
    <s v="BOT-SLK-S"/>
    <x v="3"/>
    <s v="Silk Trousers"/>
    <n v="2899"/>
    <n v="1"/>
    <s v="Valid Quantity"/>
    <n v="2899"/>
    <x v="12"/>
    <m/>
    <n v="0"/>
    <n v="0"/>
    <x v="1"/>
    <x v="2"/>
    <s v="Kolkata"/>
    <s v="West Bengal"/>
    <s v="Delhi"/>
    <d v="2024-12-18T00:00:00"/>
    <s v="Valid Date"/>
    <s v="On time delivery"/>
    <s v="Delivered"/>
    <x v="1"/>
    <m/>
    <x v="2"/>
    <s v="Not Returned"/>
    <s v="Not returned"/>
    <s v="Not Applicable"/>
  </r>
  <r>
    <x v="242"/>
    <x v="66"/>
    <s v="Valid Q4"/>
    <s v="CUST_10247"/>
    <x v="1"/>
    <s v="OUT-CPE-M"/>
    <x v="0"/>
    <s v="Velvet Cape"/>
    <n v="4599"/>
    <n v="1"/>
    <s v="Valid Quantity"/>
    <n v="4599"/>
    <x v="147"/>
    <s v="Dec-20"/>
    <n v="20"/>
    <n v="919.8"/>
    <x v="3"/>
    <x v="1"/>
    <s v="Jaipur"/>
    <s v="Rajasthan"/>
    <s v="Delhi"/>
    <d v="2024-12-19T00:00:00"/>
    <s v="Valid Date"/>
    <s v="On time delivery"/>
    <s v="Delivered"/>
    <x v="0"/>
    <s v="Size Issue"/>
    <x v="62"/>
    <s v="Returned"/>
    <s v="Valid"/>
    <s v="Processed"/>
  </r>
  <r>
    <x v="243"/>
    <x v="66"/>
    <s v="Valid Q4"/>
    <s v="CUST_10248"/>
    <x v="0"/>
    <s v="ACC-HDB-OS"/>
    <x v="4"/>
    <s v="Embellished Handbag"/>
    <n v="2499"/>
    <n v="1"/>
    <s v="Valid Quantity"/>
    <n v="2499"/>
    <x v="7"/>
    <m/>
    <n v="0"/>
    <n v="0"/>
    <x v="4"/>
    <x v="0"/>
    <s v="Lucknow"/>
    <s v="Uttar Pradesh"/>
    <s v="Delhi"/>
    <d v="2024-12-19T00:00:00"/>
    <s v="Valid Date"/>
    <s v="On time delivery"/>
    <s v="Delivered"/>
    <x v="1"/>
    <m/>
    <x v="2"/>
    <s v="Not Returned"/>
    <s v="Not returned"/>
    <s v="Not Applicable"/>
  </r>
  <r>
    <x v="244"/>
    <x v="67"/>
    <s v="Valid Q4"/>
    <s v="CUST_10249"/>
    <x v="0"/>
    <s v="TOP-NYE-XS"/>
    <x v="1"/>
    <s v="Party Bodysuit"/>
    <n v="1899"/>
    <n v="1"/>
    <s v="Valid Quantity"/>
    <n v="1899"/>
    <x v="23"/>
    <m/>
    <n v="0"/>
    <n v="0"/>
    <x v="0"/>
    <x v="2"/>
    <s v="Goa"/>
    <s v="Goa"/>
    <s v="Mumbai"/>
    <m/>
    <s v="Not Delivered"/>
    <s v="Not delivered"/>
    <s v="RTO"/>
    <x v="1"/>
    <m/>
    <x v="2"/>
    <s v="Not Delivered"/>
    <s v="Not returned"/>
    <s v="Not Applicable"/>
  </r>
  <r>
    <x v="245"/>
    <x v="67"/>
    <s v="Valid Q4"/>
    <s v="CUST_10250"/>
    <x v="0"/>
    <s v="DRS-CCT-S"/>
    <x v="2"/>
    <s v="Cocktail Dress"/>
    <n v="3299"/>
    <n v="1"/>
    <s v="Valid Quantity"/>
    <n v="3299"/>
    <x v="148"/>
    <s v="Dec-20"/>
    <n v="20"/>
    <n v="659.8"/>
    <x v="1"/>
    <x v="1"/>
    <s v="Mumbai"/>
    <s v="Maharashtra"/>
    <s v="Mumbai"/>
    <d v="2024-12-20T00:00:00"/>
    <s v="Valid Date"/>
    <s v="On time delivery"/>
    <s v="Delivered"/>
    <x v="1"/>
    <m/>
    <x v="2"/>
    <s v="Not Returned"/>
    <s v="Not returned"/>
    <s v="Not Applicable"/>
  </r>
  <r>
    <x v="246"/>
    <x v="67"/>
    <s v="Valid Q4"/>
    <s v="CUST_10251"/>
    <x v="0"/>
    <s v="BOT-SQN-M"/>
    <x v="3"/>
    <s v="Sequin Skirt"/>
    <n v="2199"/>
    <n v="1"/>
    <s v="Valid Quantity"/>
    <n v="2199"/>
    <x v="48"/>
    <m/>
    <n v="0"/>
    <n v="0"/>
    <x v="2"/>
    <x v="0"/>
    <s v="Delhi"/>
    <s v="Delhi"/>
    <s v="Delhi"/>
    <d v="2024-12-21T00:00:00"/>
    <s v="Valid Date"/>
    <s v="On time delivery"/>
    <s v="Delivered"/>
    <x v="0"/>
    <s v="Damaged in Transit"/>
    <x v="63"/>
    <s v="Returned"/>
    <s v="Valid"/>
    <s v="Pending"/>
  </r>
  <r>
    <x v="247"/>
    <x v="67"/>
    <s v="Valid Q4"/>
    <s v="CUST_10252"/>
    <x v="1"/>
    <s v="OUT-BLZ-S"/>
    <x v="0"/>
    <s v="Tuxedo Blazer"/>
    <n v="5499"/>
    <n v="1"/>
    <s v="Valid Quantity"/>
    <n v="5499"/>
    <x v="149"/>
    <s v="Dec-20"/>
    <n v="20"/>
    <n v="1099.8"/>
    <x v="3"/>
    <x v="2"/>
    <s v="Bangalore"/>
    <s v="Karnataka"/>
    <s v="Bangalore"/>
    <d v="2024-12-21T00:00:00"/>
    <s v="Valid Date"/>
    <s v="On time delivery"/>
    <s v="Delivered"/>
    <x v="1"/>
    <m/>
    <x v="2"/>
    <s v="Not Returned"/>
    <s v="Not returned"/>
    <s v="Not Applicable"/>
  </r>
  <r>
    <x v="248"/>
    <x v="68"/>
    <s v="Valid Q4"/>
    <s v="CUST_10253"/>
    <x v="0"/>
    <s v="ACC-TRA-OS"/>
    <x v="4"/>
    <s v="Tiara Headband"/>
    <n v="999"/>
    <n v="1"/>
    <s v="Valid Quantity"/>
    <n v="999"/>
    <x v="56"/>
    <m/>
    <n v="0"/>
    <n v="0"/>
    <x v="4"/>
    <x v="1"/>
    <s v="Ahmedabad"/>
    <s v="Gujarat"/>
    <s v="Mumbai"/>
    <d v="2024-12-22T00:00:00"/>
    <s v="Valid Date"/>
    <s v="On time delivery"/>
    <s v="Delivered"/>
    <x v="1"/>
    <m/>
    <x v="2"/>
    <s v="Not Returned"/>
    <s v="Not returned"/>
    <s v="Not Applicable"/>
  </r>
  <r>
    <x v="249"/>
    <x v="68"/>
    <s v="Valid Q4"/>
    <s v="CUST_10254"/>
    <x v="0"/>
    <s v="TOP-OFF-M"/>
    <x v="1"/>
    <s v="Off-Shoulder Top"/>
    <n v="1699"/>
    <n v="2"/>
    <s v="Valid Quantity"/>
    <n v="3398"/>
    <x v="150"/>
    <m/>
    <n v="0"/>
    <n v="0"/>
    <x v="0"/>
    <x v="0"/>
    <s v="Surat"/>
    <s v="Gujarat"/>
    <s v="Mumbai"/>
    <d v="2024-12-22T00:00:00"/>
    <s v="Valid Date"/>
    <s v="On time delivery"/>
    <s v="Delivered"/>
    <x v="0"/>
    <s v="Size Issue"/>
    <x v="64"/>
    <s v="Returned"/>
    <s v="Valid"/>
    <s v="Processed"/>
  </r>
  <r>
    <x v="250"/>
    <x v="68"/>
    <s v="Valid Q4"/>
    <s v="CUST_10255"/>
    <x v="0"/>
    <s v="DRS-BLB-S"/>
    <x v="2"/>
    <s v="Balloon Sleeve Dress"/>
    <n v="2799"/>
    <n v="1"/>
    <s v="Valid Quantity"/>
    <n v="2799"/>
    <x v="67"/>
    <s v="Dec-20"/>
    <n v="20"/>
    <n v="559.79999999999995"/>
    <x v="1"/>
    <x v="2"/>
    <s v="Vadodara"/>
    <s v="Gujarat"/>
    <s v="Mumbai"/>
    <d v="2024-12-23T00:00:00"/>
    <s v="Valid Date"/>
    <s v="On time delivery"/>
    <s v="Delivered"/>
    <x v="0"/>
    <s v="Wrong Item"/>
    <x v="65"/>
    <s v="Returned"/>
    <s v="Valid"/>
    <s v="Processed"/>
  </r>
  <r>
    <x v="251"/>
    <x v="68"/>
    <s v="Valid Q4"/>
    <s v="CUST_10256"/>
    <x v="0"/>
    <s v="BOT-WDE-L"/>
    <x v="3"/>
    <s v="Wide Leg Pants"/>
    <n v="2299"/>
    <n v="1"/>
    <s v="Valid Quantity"/>
    <n v="2299"/>
    <x v="3"/>
    <m/>
    <n v="0"/>
    <n v="0"/>
    <x v="3"/>
    <x v="1"/>
    <s v="Rajkot"/>
    <s v="Gujarat"/>
    <s v="Mumbai"/>
    <d v="2024-12-23T00:00:00"/>
    <s v="Valid Date"/>
    <s v="On time delivery"/>
    <s v="Delivered"/>
    <x v="1"/>
    <m/>
    <x v="2"/>
    <s v="Not Returned"/>
    <s v="Not returned"/>
    <s v="Not Applicable"/>
  </r>
  <r>
    <x v="252"/>
    <x v="69"/>
    <s v="Valid Q4"/>
    <s v="CUST_10257"/>
    <x v="1"/>
    <s v="OUT-SQN-M"/>
    <x v="0"/>
    <s v="Sequin Jacket"/>
    <n v="5999"/>
    <n v="1"/>
    <s v="Valid Quantity"/>
    <n v="5999"/>
    <x v="70"/>
    <m/>
    <n v="0"/>
    <n v="0"/>
    <x v="2"/>
    <x v="0"/>
    <s v="Kanpur"/>
    <s v="Uttar Pradesh"/>
    <s v="Delhi"/>
    <d v="2024-12-24T00:00:00"/>
    <s v="Valid Date"/>
    <s v="On time delivery"/>
    <s v="Delivered"/>
    <x v="0"/>
    <s v="Changed Mind"/>
    <x v="66"/>
    <s v="Returned"/>
    <s v="Valid"/>
    <s v="Processed"/>
  </r>
  <r>
    <x v="253"/>
    <x v="69"/>
    <s v="Valid Q4"/>
    <s v="CUST_10258"/>
    <x v="0"/>
    <s v="ACC-PRT-OS"/>
    <x v="4"/>
    <s v="Party Earrings"/>
    <n v="899"/>
    <n v="2"/>
    <s v="Valid Quantity"/>
    <n v="1798"/>
    <x v="151"/>
    <s v="Dec-20"/>
    <n v="20"/>
    <n v="359.6"/>
    <x v="4"/>
    <x v="2"/>
    <s v="Mumbai"/>
    <s v="Maharashtra"/>
    <s v="Mumbai"/>
    <d v="2024-12-23T00:00:00"/>
    <s v="Valid Date"/>
    <s v="On time delivery"/>
    <s v="Delivered"/>
    <x v="1"/>
    <m/>
    <x v="2"/>
    <s v="Not Returned"/>
    <s v="Not returned"/>
    <s v="Not Applicable"/>
  </r>
  <r>
    <x v="254"/>
    <x v="69"/>
    <s v="Valid Q4"/>
    <s v="CUST_10259"/>
    <x v="0"/>
    <s v="TOP-FTH-S"/>
    <x v="1"/>
    <s v="Feather Trim Top"/>
    <n v="2099"/>
    <n v="1"/>
    <s v="Valid Quantity"/>
    <n v="2099"/>
    <x v="114"/>
    <m/>
    <n v="0"/>
    <n v="0"/>
    <x v="0"/>
    <x v="1"/>
    <s v="Delhi"/>
    <s v="Delhi"/>
    <s v="Delhi"/>
    <d v="2024-12-24T00:00:00"/>
    <s v="Valid Date"/>
    <s v="On time delivery"/>
    <s v="Delivered"/>
    <x v="0"/>
    <s v="Quality Defect"/>
    <x v="67"/>
    <s v="Returned"/>
    <s v="Valid"/>
    <s v="Processed"/>
  </r>
  <r>
    <x v="255"/>
    <x v="70"/>
    <s v="Valid Q4"/>
    <s v="CUST_10260"/>
    <x v="0"/>
    <s v="DRS-PRY-M"/>
    <x v="2"/>
    <s v="Party Maxi"/>
    <n v="3999"/>
    <n v="1"/>
    <s v="Valid Quantity"/>
    <n v="3999"/>
    <x v="74"/>
    <m/>
    <n v="0"/>
    <n v="0"/>
    <x v="1"/>
    <x v="0"/>
    <s v="Chandigarh"/>
    <s v="Punjab"/>
    <s v="Delhi"/>
    <d v="2024-12-25T00:00:00"/>
    <s v="Valid Date"/>
    <s v="On time delivery"/>
    <s v="Delivered"/>
    <x v="0"/>
    <s v="Size Issue"/>
    <x v="68"/>
    <s v="Returned"/>
    <s v="Valid"/>
    <s v="Processed"/>
  </r>
  <r>
    <x v="256"/>
    <x v="70"/>
    <s v="Valid Q4"/>
    <s v="CUST_10261"/>
    <x v="0"/>
    <s v="BOT-GLM-S"/>
    <x v="3"/>
    <s v="Glam Pants"/>
    <n v="2499"/>
    <n v="1"/>
    <s v="Valid Quantity"/>
    <n v="2499"/>
    <x v="138"/>
    <s v="Dec-20"/>
    <n v="20"/>
    <n v="499.8"/>
    <x v="3"/>
    <x v="2"/>
    <s v="Noida"/>
    <s v="Uttar Pradesh"/>
    <s v="Delhi"/>
    <d v="2024-12-25T00:00:00"/>
    <s v="Valid Date"/>
    <s v="On time delivery"/>
    <s v="Delivered"/>
    <x v="1"/>
    <m/>
    <x v="2"/>
    <s v="Not Returned"/>
    <s v="Not returned"/>
    <s v="Not Applicable"/>
  </r>
  <r>
    <x v="257"/>
    <x v="70"/>
    <s v="Valid Q4"/>
    <s v="CUST_10262"/>
    <x v="1"/>
    <s v="OUT-LME-L"/>
    <x v="0"/>
    <s v="Lame Blazer"/>
    <n v="4899"/>
    <n v="1"/>
    <s v="Valid Quantity"/>
    <n v="4899"/>
    <x v="129"/>
    <m/>
    <n v="0"/>
    <n v="0"/>
    <x v="2"/>
    <x v="1"/>
    <s v="Gurgaon"/>
    <s v="Haryana"/>
    <s v="Delhi"/>
    <d v="2024-12-26T00:00:00"/>
    <s v="Valid Date"/>
    <s v="On time delivery"/>
    <s v="Delivered"/>
    <x v="0"/>
    <s v="Wrong Item"/>
    <x v="69"/>
    <s v="Returned"/>
    <s v="Valid"/>
    <s v="Processed"/>
  </r>
  <r>
    <x v="258"/>
    <x v="70"/>
    <s v="Valid Q4"/>
    <s v="CUST_10263"/>
    <x v="0"/>
    <s v="ACC-NYE-OS"/>
    <x v="4"/>
    <s v="NYE Headpiece"/>
    <n v="1199"/>
    <n v="1"/>
    <s v="Valid Quantity"/>
    <n v="1199"/>
    <x v="132"/>
    <m/>
    <n v="0"/>
    <n v="0"/>
    <x v="4"/>
    <x v="0"/>
    <s v="Indore"/>
    <s v="Madhya Pradesh"/>
    <s v="Mumbai"/>
    <d v="2024-12-25T00:00:00"/>
    <s v="Valid Date"/>
    <s v="On time delivery"/>
    <s v="Delivered"/>
    <x v="1"/>
    <m/>
    <x v="2"/>
    <s v="Not Returned"/>
    <s v="Not returned"/>
    <s v="Not Applicable"/>
  </r>
  <r>
    <x v="259"/>
    <x v="70"/>
    <s v="Valid Q4"/>
    <s v="CUST_10264"/>
    <x v="0"/>
    <s v="TOP-SHM-M"/>
    <x v="1"/>
    <s v="Shimmer Top"/>
    <n v="1899"/>
    <n v="1"/>
    <s v="Valid Quantity"/>
    <n v="1899"/>
    <x v="49"/>
    <s v="Dec-20"/>
    <n v="20"/>
    <n v="379.8"/>
    <x v="0"/>
    <x v="2"/>
    <s v="Surat"/>
    <s v="Gujarat"/>
    <s v="Mumbai"/>
    <d v="2024-12-26T00:00:00"/>
    <s v="Valid Date"/>
    <s v="On time delivery"/>
    <s v="Delivered"/>
    <x v="0"/>
    <s v="Damaged in Transit"/>
    <x v="70"/>
    <s v="Returned"/>
    <s v="Valid"/>
    <s v="Processed"/>
  </r>
  <r>
    <x v="260"/>
    <x v="71"/>
    <s v="Valid Q4"/>
    <s v="CUST_10265"/>
    <x v="0"/>
    <s v="DRS-CNT-L"/>
    <x v="2"/>
    <s v="Countdown Dress"/>
    <n v="3599"/>
    <n v="1"/>
    <s v="Valid Quantity"/>
    <n v="3599"/>
    <x v="152"/>
    <m/>
    <n v="0"/>
    <n v="0"/>
    <x v="1"/>
    <x v="1"/>
    <s v="Patna"/>
    <s v="Bihar"/>
    <s v="Delhi"/>
    <d v="2024-12-27T00:00:00"/>
    <s v="Valid Date"/>
    <s v="On time delivery"/>
    <s v="Delivered"/>
    <x v="1"/>
    <m/>
    <x v="2"/>
    <s v="Not Returned"/>
    <s v="Not returned"/>
    <s v="Not Applicable"/>
  </r>
  <r>
    <x v="261"/>
    <x v="71"/>
    <s v="Valid Q4"/>
    <s v="CUST_10266"/>
    <x v="0"/>
    <s v="BOT-CHM-S"/>
    <x v="3"/>
    <s v="Champagne Pants"/>
    <n v="2699"/>
    <n v="1"/>
    <s v="Valid Quantity"/>
    <n v="2699"/>
    <x v="20"/>
    <m/>
    <n v="0"/>
    <n v="0"/>
    <x v="3"/>
    <x v="0"/>
    <s v="Bhopal"/>
    <s v="Madhya Pradesh"/>
    <s v="Mumbai"/>
    <d v="2024-12-27T00:00:00"/>
    <s v="Valid Date"/>
    <s v="On time delivery"/>
    <s v="Delivered"/>
    <x v="0"/>
    <s v="Size Issue"/>
    <x v="71"/>
    <s v="Returned"/>
    <s v="Valid"/>
    <s v="Processed"/>
  </r>
  <r>
    <x v="262"/>
    <x v="71"/>
    <s v="Valid Q4"/>
    <s v="CUST_10267"/>
    <x v="1"/>
    <s v="OUT-RSE-M"/>
    <x v="0"/>
    <s v="Rose Gold Jacket"/>
    <n v="5599"/>
    <n v="1"/>
    <s v="Valid Quantity"/>
    <n v="5599"/>
    <x v="153"/>
    <s v="Dec-20"/>
    <n v="20"/>
    <n v="1119.8"/>
    <x v="2"/>
    <x v="2"/>
    <s v="Nagpur"/>
    <s v="Maharashtra"/>
    <s v="Mumbai"/>
    <d v="2024-12-28T00:00:00"/>
    <s v="Valid Date"/>
    <s v="On time delivery"/>
    <s v="Delivered"/>
    <x v="0"/>
    <s v="Changed Mind"/>
    <x v="72"/>
    <s v="Returned"/>
    <s v="Valid"/>
    <s v="Processed"/>
  </r>
  <r>
    <x v="263"/>
    <x v="71"/>
    <s v="Valid Q4"/>
    <s v="CUST_10268"/>
    <x v="0"/>
    <s v="ACC-MSK-OS"/>
    <x v="4"/>
    <s v="Mask Chain"/>
    <n v="399"/>
    <n v="3"/>
    <s v="Valid Quantity"/>
    <n v="1197"/>
    <x v="65"/>
    <m/>
    <n v="0"/>
    <n v="0"/>
    <x v="4"/>
    <x v="1"/>
    <s v="Coimbatore"/>
    <s v="Tamil Nadu"/>
    <s v="Bangalore"/>
    <d v="2024-12-27T00:00:00"/>
    <s v="Valid Date"/>
    <s v="On time delivery"/>
    <s v="Delivered"/>
    <x v="1"/>
    <m/>
    <x v="2"/>
    <s v="Not Returned"/>
    <s v="Not returned"/>
    <s v="Not Applicable"/>
  </r>
  <r>
    <x v="264"/>
    <x v="72"/>
    <s v="Valid Q4"/>
    <s v="CUST_10269"/>
    <x v="0"/>
    <s v="TOP-CEL-L"/>
    <x v="1"/>
    <s v="Celebration Top"/>
    <n v="2199"/>
    <n v="1"/>
    <s v="Valid Quantity"/>
    <n v="2199"/>
    <x v="48"/>
    <m/>
    <n v="0"/>
    <n v="0"/>
    <x v="0"/>
    <x v="0"/>
    <s v="Kochi"/>
    <s v="Kerala"/>
    <s v="Bangalore"/>
    <d v="2024-12-28T00:00:00"/>
    <s v="Valid Date"/>
    <s v="On time delivery"/>
    <s v="Delivered"/>
    <x v="0"/>
    <s v="Quality Defect"/>
    <x v="69"/>
    <s v="Returned"/>
    <s v="Valid"/>
    <s v="Processed"/>
  </r>
  <r>
    <x v="265"/>
    <x v="72"/>
    <s v="Valid Q4"/>
    <s v="CUST_10270"/>
    <x v="0"/>
    <s v="DRS-MID-S"/>
    <x v="2"/>
    <s v="Midnight Dress"/>
    <n v="4299"/>
    <n v="1"/>
    <s v="Valid Quantity"/>
    <n v="4299"/>
    <x v="154"/>
    <s v="Dec-20"/>
    <n v="20"/>
    <n v="859.8"/>
    <x v="1"/>
    <x v="2"/>
    <s v="Vizag"/>
    <s v="Andhra Pradesh"/>
    <s v="Bangalore"/>
    <d v="2024-12-29T00:00:00"/>
    <s v="Valid Date"/>
    <s v="On time delivery"/>
    <s v="Delivered"/>
    <x v="1"/>
    <m/>
    <x v="2"/>
    <s v="Not Returned"/>
    <s v="Not returned"/>
    <s v="Not Applicable"/>
  </r>
  <r>
    <x v="266"/>
    <x v="72"/>
    <s v="Valid Q4"/>
    <s v="CUST_10271"/>
    <x v="0"/>
    <s v="BOT-NYS-M"/>
    <x v="3"/>
    <s v="NYE Skirt"/>
    <n v="2399"/>
    <n v="1"/>
    <s v="Valid Quantity"/>
    <n v="2399"/>
    <x v="16"/>
    <m/>
    <n v="0"/>
    <n v="0"/>
    <x v="3"/>
    <x v="1"/>
    <s v="Thiruvananthapuram"/>
    <s v="Kerala"/>
    <s v="Bangalore"/>
    <d v="2024-12-29T00:00:00"/>
    <s v="Valid Date"/>
    <s v="On time delivery"/>
    <s v="Delivered"/>
    <x v="0"/>
    <s v="Wrong Item"/>
    <x v="73"/>
    <s v="Returned"/>
    <s v="Valid"/>
    <s v="Processed"/>
  </r>
  <r>
    <x v="267"/>
    <x v="72"/>
    <s v="Valid Q4"/>
    <s v="CUST_10272"/>
    <x v="1"/>
    <s v="OUT-FRS-L"/>
    <x v="0"/>
    <s v="Frost Jacket"/>
    <n v="6299"/>
    <n v="1"/>
    <s v="Valid Quantity"/>
    <n v="6299"/>
    <x v="121"/>
    <m/>
    <n v="0"/>
    <n v="0"/>
    <x v="2"/>
    <x v="0"/>
    <s v="Mysore"/>
    <s v="Karnataka"/>
    <s v="Bangalore"/>
    <m/>
    <s v="Not Delivered"/>
    <s v="Not delivered"/>
    <s v="RTO"/>
    <x v="1"/>
    <m/>
    <x v="2"/>
    <s v="Not Delivered"/>
    <s v="Not returned"/>
    <s v="Not Applicable"/>
  </r>
  <r>
    <x v="268"/>
    <x v="73"/>
    <s v="Valid Q4"/>
    <s v="CUST_10273"/>
    <x v="0"/>
    <s v="ACC-SPR-OS"/>
    <x v="4"/>
    <s v="Sparkle Hair Clip"/>
    <n v="599"/>
    <n v="2"/>
    <s v="Valid Quantity"/>
    <n v="1198"/>
    <x v="141"/>
    <s v="Dec-20"/>
    <n v="20"/>
    <n v="239.6"/>
    <x v="4"/>
    <x v="2"/>
    <s v="Vadodara"/>
    <s v="Gujarat"/>
    <s v="Mumbai"/>
    <d v="2024-12-29T00:00:00"/>
    <s v="Valid Date"/>
    <s v="On time delivery"/>
    <s v="Delivered"/>
    <x v="1"/>
    <m/>
    <x v="2"/>
    <s v="Not Returned"/>
    <s v="Not returned"/>
    <s v="Not Applicable"/>
  </r>
  <r>
    <x v="269"/>
    <x v="73"/>
    <s v="Valid Q4"/>
    <s v="CUST_10274"/>
    <x v="0"/>
    <s v="TOP-GLS-M"/>
    <x v="1"/>
    <s v="Glass Bead Top"/>
    <n v="2399"/>
    <n v="1"/>
    <s v="Valid Quantity"/>
    <n v="2399"/>
    <x v="16"/>
    <m/>
    <n v="0"/>
    <n v="0"/>
    <x v="0"/>
    <x v="1"/>
    <s v="Rajkot"/>
    <s v="Gujarat"/>
    <s v="Mumbai"/>
    <d v="2024-12-30T00:00:00"/>
    <s v="Valid Date"/>
    <s v="On time delivery"/>
    <s v="Delivered"/>
    <x v="0"/>
    <s v="Size Issue"/>
    <x v="74"/>
    <s v="Returned"/>
    <s v="Valid"/>
    <s v="Processed"/>
  </r>
  <r>
    <x v="270"/>
    <x v="73"/>
    <s v="Valid Q4"/>
    <s v="CUST_10275"/>
    <x v="0"/>
    <s v="DRS-FNL-L"/>
    <x v="2"/>
    <s v="Finale Gown"/>
    <n v="5999"/>
    <n v="1"/>
    <s v="Valid Quantity"/>
    <n v="5999"/>
    <x v="70"/>
    <m/>
    <n v="0"/>
    <n v="0"/>
    <x v="1"/>
    <x v="0"/>
    <s v="Kanpur"/>
    <s v="Uttar Pradesh"/>
    <s v="Delhi"/>
    <d v="2024-12-31T00:00:00"/>
    <s v="Valid Date"/>
    <s v="On time delivery"/>
    <s v="Delivered"/>
    <x v="0"/>
    <s v="Damaged in Transit"/>
    <x v="75"/>
    <s v="Returned"/>
    <s v="Valid"/>
    <s v="Processed"/>
  </r>
  <r>
    <x v="271"/>
    <x v="73"/>
    <s v="Valid Q4"/>
    <s v="CUST_10276"/>
    <x v="0"/>
    <s v="BOT-PRY-S"/>
    <x v="3"/>
    <s v="Party Leggings"/>
    <n v="1899"/>
    <n v="1"/>
    <s v="Valid Quantity"/>
    <n v="1899"/>
    <x v="49"/>
    <s v="Dec-20"/>
    <n v="20"/>
    <n v="379.8"/>
    <x v="3"/>
    <x v="2"/>
    <s v="Mumbai"/>
    <s v="Maharashtra"/>
    <s v="Mumbai"/>
    <d v="2024-12-30T00:00:00"/>
    <s v="Valid Date"/>
    <s v="On time delivery"/>
    <s v="Delivered"/>
    <x v="1"/>
    <m/>
    <x v="2"/>
    <s v="Not Returned"/>
    <s v="Not returned"/>
    <s v="Not Applicable"/>
  </r>
  <r>
    <x v="272"/>
    <x v="74"/>
    <s v="Valid Q4"/>
    <s v="CUST_10277"/>
    <x v="1"/>
    <s v="OUT-CHR-M"/>
    <x v="0"/>
    <s v="Christmas Jacket"/>
    <n v="4999"/>
    <n v="1"/>
    <s v="Valid Quantity"/>
    <n v="4999"/>
    <x v="55"/>
    <m/>
    <n v="0"/>
    <n v="0"/>
    <x v="2"/>
    <x v="1"/>
    <s v="Delhi"/>
    <s v="Delhi"/>
    <s v="Delhi"/>
    <d v="2024-12-31T00:00:00"/>
    <s v="Valid Date"/>
    <s v="On time delivery"/>
    <s v="Delivered"/>
    <x v="0"/>
    <s v="Changed Mind"/>
    <x v="76"/>
    <s v="Returned"/>
    <s v="Valid"/>
    <s v="Processed"/>
  </r>
  <r>
    <x v="273"/>
    <x v="74"/>
    <s v="Valid Q4"/>
    <s v="CUST_10278"/>
    <x v="0"/>
    <s v="ACC-BLS-OS"/>
    <x v="4"/>
    <s v="Blush Bag"/>
    <n v="1699"/>
    <n v="1"/>
    <s v="Valid Quantity"/>
    <n v="1699"/>
    <x v="15"/>
    <m/>
    <n v="0"/>
    <n v="0"/>
    <x v="4"/>
    <x v="0"/>
    <s v="Kolkata"/>
    <s v="West Bengal"/>
    <s v="Delhi"/>
    <d v="2024-12-30T00:00:00"/>
    <s v="Valid Date"/>
    <s v="On time delivery"/>
    <s v="Delivered"/>
    <x v="0"/>
    <s v="Quality Defect"/>
    <x v="73"/>
    <s v="Returned"/>
    <s v="Valid"/>
    <s v="Processed"/>
  </r>
  <r>
    <x v="274"/>
    <x v="74"/>
    <s v="Valid Q4"/>
    <s v="CUST_10279"/>
    <x v="0"/>
    <s v="TOP-YRS-L"/>
    <x v="1"/>
    <s v="Year End Top"/>
    <n v="2099"/>
    <n v="1"/>
    <s v="Valid Quantity"/>
    <n v="2099"/>
    <x v="42"/>
    <s v="Dec-20"/>
    <n v="20"/>
    <n v="419.8"/>
    <x v="0"/>
    <x v="2"/>
    <s v="Chennai"/>
    <s v="Tamil Nadu"/>
    <s v="Bangalore"/>
    <d v="2024-12-31T00:00:00"/>
    <s v="Valid Date"/>
    <s v="On time delivery"/>
    <s v="Delivered"/>
    <x v="1"/>
    <m/>
    <x v="2"/>
    <s v="Not Returned"/>
    <s v="Not returned"/>
    <s v="Not Applicable"/>
  </r>
  <r>
    <x v="275"/>
    <x v="74"/>
    <s v="Valid Q4"/>
    <s v="CUST_10280"/>
    <x v="0"/>
    <s v="DRS-EVE-S"/>
    <x v="2"/>
    <s v="Evening Elegance"/>
    <n v="4599"/>
    <n v="1"/>
    <s v="Valid Quantity"/>
    <n v="4599"/>
    <x v="110"/>
    <m/>
    <n v="0"/>
    <n v="0"/>
    <x v="1"/>
    <x v="1"/>
    <s v="Hyderabad"/>
    <s v="Telangana"/>
    <s v="Bangalore"/>
    <d v="2025-01-02T00:00:00"/>
    <s v="Valid Date"/>
    <s v="On time delivery"/>
    <s v="Delivered"/>
    <x v="0"/>
    <s v="Size Issue"/>
    <x v="77"/>
    <s v="Returned"/>
    <s v="Valid"/>
    <s v="Processed"/>
  </r>
  <r>
    <x v="276"/>
    <x v="75"/>
    <s v="Valid Q4"/>
    <s v="CUST_10281"/>
    <x v="0"/>
    <s v="BOT-FNS-M"/>
    <x v="3"/>
    <s v="Finish Line Pants"/>
    <n v="2299"/>
    <n v="1"/>
    <s v="Valid Quantity"/>
    <n v="2299"/>
    <x v="3"/>
    <m/>
    <n v="0"/>
    <n v="0"/>
    <x v="3"/>
    <x v="0"/>
    <s v="Pune"/>
    <s v="Maharashtra"/>
    <s v="Mumbai"/>
    <d v="2025-01-02T00:00:00"/>
    <s v="Valid Date"/>
    <s v="On time delivery"/>
    <s v="Delivered"/>
    <x v="1"/>
    <m/>
    <x v="2"/>
    <s v="Not Returned"/>
    <s v="Not returned"/>
    <s v="Not Applicable"/>
  </r>
  <r>
    <x v="277"/>
    <x v="75"/>
    <s v="Valid Q4"/>
    <s v="CUST_10282"/>
    <x v="1"/>
    <s v="OUT-NYB-L"/>
    <x v="0"/>
    <s v="NYE Blazer"/>
    <n v="5799"/>
    <n v="1"/>
    <s v="Valid Quantity"/>
    <n v="5799"/>
    <x v="155"/>
    <s v="Dec-20"/>
    <n v="20"/>
    <n v="1159.8"/>
    <x v="2"/>
    <x v="2"/>
    <s v="Ahmedabad"/>
    <s v="Gujarat"/>
    <s v="Mumbai"/>
    <d v="2025-01-03T00:00:00"/>
    <s v="Valid Date"/>
    <s v="On time delivery"/>
    <s v="Delivered"/>
    <x v="0"/>
    <s v="Wrong Item"/>
    <x v="78"/>
    <s v="Returned"/>
    <s v="Valid"/>
    <s v="Processed"/>
  </r>
  <r>
    <x v="278"/>
    <x v="75"/>
    <s v="Valid Q4"/>
    <s v="CUST_10283"/>
    <x v="0"/>
    <s v="ACC-CNT-OS"/>
    <x v="4"/>
    <s v="Countdown Earrings"/>
    <n v="799"/>
    <n v="2"/>
    <s v="Valid Quantity"/>
    <n v="1598"/>
    <x v="38"/>
    <m/>
    <n v="0"/>
    <n v="0"/>
    <x v="4"/>
    <x v="1"/>
    <s v="Jaipur"/>
    <s v="Rajasthan"/>
    <s v="Delhi"/>
    <d v="2025-01-02T00:00:00"/>
    <s v="Valid Date"/>
    <s v="On time delivery"/>
    <s v="Delivered"/>
    <x v="1"/>
    <m/>
    <x v="2"/>
    <s v="Not Returned"/>
    <s v="Not returned"/>
    <s v="Not Applicable"/>
  </r>
  <r>
    <x v="279"/>
    <x v="75"/>
    <s v="Valid Q4"/>
    <s v="CUST_10284"/>
    <x v="0"/>
    <s v="TOP-LST-S"/>
    <x v="1"/>
    <s v="Last Dance Top"/>
    <n v="1999"/>
    <n v="1"/>
    <s v="Valid Quantity"/>
    <n v="1999"/>
    <x v="72"/>
    <m/>
    <n v="0"/>
    <n v="0"/>
    <x v="0"/>
    <x v="0"/>
    <s v="Lucknow"/>
    <s v="Uttar Pradesh"/>
    <s v="Delhi"/>
    <d v="2025-01-03T00:00:00"/>
    <s v="Valid Date"/>
    <s v="On time delivery"/>
    <s v="Delivered"/>
    <x v="0"/>
    <s v="Damaged in Transit"/>
    <x v="77"/>
    <s v="Returned"/>
    <s v="Valid"/>
    <s v="Processed"/>
  </r>
  <r>
    <x v="280"/>
    <x v="76"/>
    <s v="Valid Q4"/>
    <s v="CUST_10285"/>
    <x v="0"/>
    <s v="DRS-BLS-M"/>
    <x v="2"/>
    <s v="Bliss Dress"/>
    <n v="3899"/>
    <n v="1"/>
    <s v="Valid Quantity"/>
    <n v="3899"/>
    <x v="156"/>
    <s v="Dec-20"/>
    <n v="20"/>
    <n v="779.8"/>
    <x v="1"/>
    <x v="2"/>
    <s v="Bangalore"/>
    <s v="Karnataka"/>
    <s v="Bangalore"/>
    <d v="2025-01-04T00:00:00"/>
    <s v="Valid Date"/>
    <s v="On time delivery"/>
    <s v="Delivered"/>
    <x v="0"/>
    <s v="Size Issue"/>
    <x v="79"/>
    <s v="Returned"/>
    <s v="Valid"/>
    <s v="Processed"/>
  </r>
  <r>
    <x v="281"/>
    <x v="76"/>
    <s v="Valid Q4"/>
    <s v="CUST_10286"/>
    <x v="0"/>
    <s v="BOT-END-L"/>
    <x v="3"/>
    <s v="Year End Pants"/>
    <n v="2599"/>
    <n v="1"/>
    <s v="Valid Quantity"/>
    <n v="2599"/>
    <x v="35"/>
    <m/>
    <n v="0"/>
    <n v="0"/>
    <x v="3"/>
    <x v="1"/>
    <s v="Mumbai"/>
    <s v="Maharashtra"/>
    <s v="Mumbai"/>
    <d v="2025-01-04T00:00:00"/>
    <s v="Valid Date"/>
    <s v="On time delivery"/>
    <s v="Delivered"/>
    <x v="1"/>
    <m/>
    <x v="2"/>
    <s v="Not Returned"/>
    <s v="Not returned"/>
    <s v="Not Applicable"/>
  </r>
  <r>
    <x v="282"/>
    <x v="76"/>
    <s v="Valid Q4"/>
    <s v="CUST_10287"/>
    <x v="0"/>
    <s v="OUT-CLB-M"/>
    <x v="0"/>
    <s v="Celebration Blazer"/>
    <n v="5299"/>
    <n v="1"/>
    <s v="Valid Quantity"/>
    <n v="5299"/>
    <x v="137"/>
    <m/>
    <n v="0"/>
    <n v="0"/>
    <x v="2"/>
    <x v="0"/>
    <s v="Delhi"/>
    <s v="Delhi"/>
    <s v="Delhi"/>
    <d v="2025-01-05T00:00:00"/>
    <s v="Valid Date"/>
    <s v="On time delivery"/>
    <s v="Delivered"/>
    <x v="0"/>
    <s v="Changed Mind"/>
    <x v="80"/>
    <s v="Returned"/>
    <s v="Valid"/>
    <s v="Processed"/>
  </r>
  <r>
    <x v="283"/>
    <x v="76"/>
    <s v="Valid Q4"/>
    <s v="CUST_10288"/>
    <x v="1"/>
    <s v="ACC-FNL-OS"/>
    <x v="4"/>
    <s v="Finale Necklace"/>
    <n v="1399"/>
    <n v="1"/>
    <s v="Valid Quantity"/>
    <n v="1399"/>
    <x v="63"/>
    <s v="Dec-20"/>
    <n v="20"/>
    <n v="279.8"/>
    <x v="4"/>
    <x v="2"/>
    <s v="Chandigarh"/>
    <s v="Punjab"/>
    <s v="Delhi"/>
    <d v="2025-01-04T00:00:00"/>
    <s v="Valid Date"/>
    <s v="On time delivery"/>
    <s v="Delivered"/>
    <x v="1"/>
    <m/>
    <x v="2"/>
    <s v="Not Returned"/>
    <s v="Not returned"/>
    <s v="Not Applicable"/>
  </r>
  <r>
    <x v="284"/>
    <x v="77"/>
    <s v="Valid Q4"/>
    <s v="CUST_10289"/>
    <x v="0"/>
    <s v="TOP-PRY-M"/>
    <x v="1"/>
    <s v="Party Essential Top"/>
    <n v="1799"/>
    <n v="1"/>
    <s v="Valid Quantity"/>
    <n v="1799"/>
    <x v="30"/>
    <m/>
    <n v="0"/>
    <n v="0"/>
    <x v="0"/>
    <x v="1"/>
    <s v="Noida"/>
    <s v="Uttar Pradesh"/>
    <s v="Delhi"/>
    <d v="2025-01-05T00:00:00"/>
    <s v="Valid Date"/>
    <s v="On time delivery"/>
    <s v="Delivered"/>
    <x v="0"/>
    <s v="Quality Defect"/>
    <x v="79"/>
    <s v="Returned"/>
    <s v="Valid"/>
    <s v="Processed"/>
  </r>
  <r>
    <x v="285"/>
    <x v="77"/>
    <s v="Valid Q4"/>
    <s v="CUST_10290"/>
    <x v="0"/>
    <s v="DRS-SHN-L"/>
    <x v="2"/>
    <s v="Shine On Dress"/>
    <n v="4199"/>
    <n v="1"/>
    <s v="Valid Quantity"/>
    <n v="4199"/>
    <x v="116"/>
    <m/>
    <n v="0"/>
    <n v="0"/>
    <x v="1"/>
    <x v="0"/>
    <s v="Gurgaon"/>
    <s v="Haryana"/>
    <s v="Delhi"/>
    <d v="2025-01-06T00:00:00"/>
    <s v="Valid Date"/>
    <s v="On time delivery"/>
    <s v="Delivered"/>
    <x v="0"/>
    <s v="Size Issue"/>
    <x v="81"/>
    <s v="Returned"/>
    <s v="Valid"/>
    <s v="Processed"/>
  </r>
  <r>
    <x v="286"/>
    <x v="77"/>
    <s v="Valid Q4"/>
    <s v="CUST_10291"/>
    <x v="0"/>
    <s v="BOT-GLD-S"/>
    <x v="3"/>
    <s v="Gold Rush Pants"/>
    <n v="2799"/>
    <n v="1"/>
    <s v="Valid Quantity"/>
    <n v="2799"/>
    <x v="67"/>
    <s v="Dec-20"/>
    <n v="20"/>
    <n v="559.79999999999995"/>
    <x v="3"/>
    <x v="2"/>
    <s v="Indore"/>
    <s v="Madhya Pradesh"/>
    <s v="Mumbai"/>
    <d v="2025-01-06T00:00:00"/>
    <s v="Valid Date"/>
    <s v="On time delivery"/>
    <s v="Delivered"/>
    <x v="1"/>
    <m/>
    <x v="2"/>
    <s v="Not Returned"/>
    <s v="Not returned"/>
    <s v="Not Applicable"/>
  </r>
  <r>
    <x v="287"/>
    <x v="77"/>
    <s v="Valid Q4"/>
    <s v="CUST_10292"/>
    <x v="0"/>
    <s v="OUT-DZL-M"/>
    <x v="0"/>
    <s v="Dazzle Jacket"/>
    <n v="5499"/>
    <n v="1"/>
    <s v="Valid Quantity"/>
    <n v="5499"/>
    <x v="24"/>
    <m/>
    <n v="0"/>
    <n v="0"/>
    <x v="2"/>
    <x v="1"/>
    <s v="Surat"/>
    <s v="Gujarat"/>
    <s v="Mumbai"/>
    <d v="2025-01-07T00:00:00"/>
    <s v="Valid Date"/>
    <s v="On time delivery"/>
    <s v="Delivered"/>
    <x v="0"/>
    <s v="Wrong Item"/>
    <x v="82"/>
    <s v="Returned"/>
    <s v="Valid"/>
    <s v="Processed"/>
  </r>
  <r>
    <x v="288"/>
    <x v="78"/>
    <s v="Valid Q4"/>
    <s v="CUST_10293"/>
    <x v="1"/>
    <s v="ACC-GLW-OS"/>
    <x v="4"/>
    <s v="Glow Bracelet"/>
    <n v="699"/>
    <n v="2"/>
    <s v="Valid Quantity"/>
    <n v="1398"/>
    <x v="117"/>
    <m/>
    <n v="0"/>
    <n v="0"/>
    <x v="4"/>
    <x v="0"/>
    <s v="Patna"/>
    <s v="Bihar"/>
    <s v="Delhi"/>
    <d v="2025-01-06T00:00:00"/>
    <s v="Valid Date"/>
    <s v="On time delivery"/>
    <s v="Delivered"/>
    <x v="1"/>
    <m/>
    <x v="2"/>
    <s v="Not Returned"/>
    <s v="Not returned"/>
    <s v="Not Applicable"/>
  </r>
  <r>
    <x v="289"/>
    <x v="78"/>
    <s v="Valid Q4"/>
    <s v="CUST_10294"/>
    <x v="0"/>
    <s v="TOP-SLB-L"/>
    <x v="1"/>
    <s v="Celebrate Top"/>
    <n v="2299"/>
    <n v="1"/>
    <s v="Valid Quantity"/>
    <n v="2299"/>
    <x v="144"/>
    <s v="Dec-20"/>
    <n v="20"/>
    <n v="459.8"/>
    <x v="0"/>
    <x v="2"/>
    <s v="Bhopal"/>
    <s v="Madhya Pradesh"/>
    <s v="Mumbai"/>
    <d v="2025-01-07T00:00:00"/>
    <s v="Valid Date"/>
    <s v="On time delivery"/>
    <s v="Delivered"/>
    <x v="0"/>
    <s v="Damaged in Transit"/>
    <x v="81"/>
    <s v="Returned"/>
    <s v="Valid"/>
    <s v="Processed"/>
  </r>
  <r>
    <x v="290"/>
    <x v="78"/>
    <s v="Valid Q4"/>
    <s v="CUST_10295"/>
    <x v="0"/>
    <s v="DRS-RDY-S"/>
    <x v="2"/>
    <s v="Ready to Party Dress"/>
    <n v="3599"/>
    <n v="1"/>
    <s v="Valid Quantity"/>
    <n v="3599"/>
    <x v="152"/>
    <m/>
    <n v="0"/>
    <n v="0"/>
    <x v="1"/>
    <x v="1"/>
    <s v="Nagpur"/>
    <s v="Maharashtra"/>
    <s v="Mumbai"/>
    <d v="2025-01-08T00:00:00"/>
    <s v="Valid Date"/>
    <s v="On time delivery"/>
    <s v="Delivered"/>
    <x v="1"/>
    <m/>
    <x v="2"/>
    <s v="Not Returned"/>
    <s v="Not returned"/>
    <s v="Not Applicable"/>
  </r>
  <r>
    <x v="291"/>
    <x v="78"/>
    <s v="Valid Q4"/>
    <s v="CUST_10296"/>
    <x v="0"/>
    <s v="BOT-BRT-M"/>
    <x v="3"/>
    <s v="Bright Night Pants"/>
    <n v="2499"/>
    <n v="1"/>
    <s v="Valid Quantity"/>
    <n v="2499"/>
    <x v="7"/>
    <m/>
    <n v="0"/>
    <n v="0"/>
    <x v="3"/>
    <x v="0"/>
    <s v="Coimbatore"/>
    <s v="Tamil Nadu"/>
    <s v="Bangalore"/>
    <d v="2025-01-08T00:00:00"/>
    <s v="Valid Date"/>
    <s v="On time delivery"/>
    <s v="Delivered"/>
    <x v="0"/>
    <s v="Size Issue"/>
    <x v="83"/>
    <s v="Returned"/>
    <s v="Valid"/>
    <s v="Processed"/>
  </r>
  <r>
    <x v="292"/>
    <x v="79"/>
    <s v="Valid Q4"/>
    <s v="CUST_10297"/>
    <x v="0"/>
    <s v="OUT-END-L"/>
    <x v="0"/>
    <s v="End of Year Coat"/>
    <n v="6799"/>
    <n v="1"/>
    <s v="Valid Quantity"/>
    <n v="6799"/>
    <x v="157"/>
    <s v="Dec-20"/>
    <n v="20"/>
    <n v="1359.8"/>
    <x v="2"/>
    <x v="2"/>
    <s v="Kochi"/>
    <s v="Kerala"/>
    <s v="Bangalore"/>
    <d v="2025-01-09T00:00:00"/>
    <s v="Valid Date"/>
    <s v="On time delivery"/>
    <s v="Delivered"/>
    <x v="0"/>
    <s v="Changed Mind"/>
    <x v="84"/>
    <s v="Returned"/>
    <s v="Valid"/>
    <s v="Processed"/>
  </r>
  <r>
    <x v="293"/>
    <x v="79"/>
    <s v="Valid Q4"/>
    <s v="CUST_10298"/>
    <x v="1"/>
    <s v="ACC-MRY-OS"/>
    <x v="4"/>
    <s v="Merry Earrings"/>
    <n v="599"/>
    <n v="3"/>
    <s v="Valid Quantity"/>
    <n v="1797"/>
    <x v="158"/>
    <m/>
    <n v="0"/>
    <n v="0"/>
    <x v="4"/>
    <x v="1"/>
    <s v="Vizag"/>
    <s v="Andhra Pradesh"/>
    <s v="Bangalore"/>
    <d v="2025-01-08T00:00:00"/>
    <s v="Valid Date"/>
    <s v="On time delivery"/>
    <s v="Delivered"/>
    <x v="1"/>
    <m/>
    <x v="2"/>
    <s v="Not Returned"/>
    <s v="Not returned"/>
    <s v="Not Applicable"/>
  </r>
  <r>
    <x v="294"/>
    <x v="79"/>
    <s v="Valid Q4"/>
    <s v="CUST_10299"/>
    <x v="0"/>
    <s v="TOP-JOY-M"/>
    <x v="1"/>
    <s v="Joyful Top"/>
    <n v="1899"/>
    <n v="1"/>
    <s v="Valid Quantity"/>
    <n v="1899"/>
    <x v="23"/>
    <m/>
    <n v="0"/>
    <n v="0"/>
    <x v="0"/>
    <x v="0"/>
    <s v="Thiruvananthapuram"/>
    <s v="Kerala"/>
    <s v="Bangalore"/>
    <d v="2025-01-09T00:00:00"/>
    <s v="Valid Date"/>
    <s v="On time delivery"/>
    <s v="Delivered"/>
    <x v="0"/>
    <s v="Quality Defect"/>
    <x v="83"/>
    <s v="Returned"/>
    <s v="Valid"/>
    <s v="Processed"/>
  </r>
  <r>
    <x v="295"/>
    <x v="79"/>
    <s v="Valid Q4"/>
    <s v="CUST_10300"/>
    <x v="0"/>
    <s v="DRS-WND-L"/>
    <x v="2"/>
    <s v="Winter Wonder Dress"/>
    <n v="4499"/>
    <n v="1"/>
    <s v="Valid Quantity"/>
    <n v="4499"/>
    <x v="159"/>
    <s v="Dec-20"/>
    <n v="20"/>
    <n v="899.8"/>
    <x v="1"/>
    <x v="2"/>
    <s v="Mysore"/>
    <s v="Karnataka"/>
    <s v="Bangalore"/>
    <d v="2025-01-10T00:00:00"/>
    <s v="Valid Date"/>
    <s v="On time delivery"/>
    <s v="Delivered"/>
    <x v="0"/>
    <s v="Size Issue"/>
    <x v="85"/>
    <s v="Returned"/>
    <s v="Valid"/>
    <s v="Processed"/>
  </r>
  <r>
    <x v="296"/>
    <x v="80"/>
    <s v="Valid Q4"/>
    <s v="CUST_10301"/>
    <x v="0"/>
    <s v="BOT-FST-S"/>
    <x v="3"/>
    <s v="Festive Pants"/>
    <n v="2199"/>
    <n v="1"/>
    <s v="Valid Quantity"/>
    <n v="2199"/>
    <x v="48"/>
    <m/>
    <n v="0"/>
    <n v="0"/>
    <x v="3"/>
    <x v="1"/>
    <s v="Vadodara"/>
    <s v="Gujarat"/>
    <s v="Mumbai"/>
    <d v="2025-01-10T00:00:00"/>
    <s v="Valid Date"/>
    <s v="On time delivery"/>
    <s v="Delivered"/>
    <x v="1"/>
    <m/>
    <x v="2"/>
    <s v="Not Returned"/>
    <s v="Not returned"/>
    <s v="Not Applicable"/>
  </r>
  <r>
    <x v="297"/>
    <x v="80"/>
    <s v="Valid Q4"/>
    <s v="CUST_10302"/>
    <x v="0"/>
    <s v="OUT-HOL-M"/>
    <x v="0"/>
    <s v="Holiday Jacket"/>
    <n v="5199"/>
    <n v="1"/>
    <s v="Valid Quantity"/>
    <n v="5199"/>
    <x v="160"/>
    <m/>
    <n v="0"/>
    <n v="0"/>
    <x v="2"/>
    <x v="0"/>
    <s v="Rajkot"/>
    <s v="Gujarat"/>
    <s v="Mumbai"/>
    <d v="2025-01-11T00:00:00"/>
    <s v="Valid Date"/>
    <s v="On time delivery"/>
    <s v="Delivered"/>
    <x v="0"/>
    <s v="Wrong Item"/>
    <x v="86"/>
    <s v="Returned"/>
    <s v="Valid"/>
    <s v="Processed"/>
  </r>
  <r>
    <x v="298"/>
    <x v="80"/>
    <s v="Valid Q4"/>
    <s v="CUST_10303"/>
    <x v="1"/>
    <s v="ACC-CHR-OS"/>
    <x v="4"/>
    <s v="Christmas Brooch"/>
    <n v="499"/>
    <n v="2"/>
    <s v="Valid Quantity"/>
    <n v="998"/>
    <x v="143"/>
    <s v="Dec-20"/>
    <n v="20"/>
    <n v="199.6"/>
    <x v="4"/>
    <x v="2"/>
    <s v="Kanpur"/>
    <s v="Uttar Pradesh"/>
    <s v="Delhi"/>
    <d v="2025-01-10T00:00:00"/>
    <s v="Valid Date"/>
    <s v="On time delivery"/>
    <s v="Delivered"/>
    <x v="1"/>
    <m/>
    <x v="2"/>
    <s v="Not Returned"/>
    <s v="Not returned"/>
    <s v="Not Applicable"/>
  </r>
  <r>
    <x v="299"/>
    <x v="80"/>
    <s v="Valid Q4"/>
    <s v="CUST_10304"/>
    <x v="0"/>
    <s v="TOP-SNW-L"/>
    <x v="1"/>
    <s v="Snow White Top"/>
    <n v="2099"/>
    <n v="1"/>
    <s v="Valid Quantity"/>
    <n v="2099"/>
    <x v="114"/>
    <m/>
    <n v="0"/>
    <n v="0"/>
    <x v="0"/>
    <x v="1"/>
    <s v="Mumbai"/>
    <s v="Maharashtra"/>
    <s v="Mumbai"/>
    <d v="2025-01-11T00:00:00"/>
    <s v="Valid Date"/>
    <s v="On time delivery"/>
    <s v="Delivered"/>
    <x v="0"/>
    <s v="Damaged in Transit"/>
    <x v="85"/>
    <s v="Returned"/>
    <s v="Valid"/>
    <s v="Processed"/>
  </r>
  <r>
    <x v="300"/>
    <x v="81"/>
    <s v="Valid Q4"/>
    <s v="CUST_10305"/>
    <x v="0"/>
    <s v="DRS-ICE-S"/>
    <x v="2"/>
    <s v="Ice Queen Dress"/>
    <n v="3999"/>
    <n v="1"/>
    <s v="Valid Quantity"/>
    <n v="3999"/>
    <x v="74"/>
    <m/>
    <n v="0"/>
    <n v="0"/>
    <x v="1"/>
    <x v="0"/>
    <s v="Delhi"/>
    <s v="Delhi"/>
    <s v="Delhi"/>
    <d v="2025-01-12T00:00:00"/>
    <s v="Valid Date"/>
    <s v="On time delivery"/>
    <s v="Delivered"/>
    <x v="0"/>
    <s v="Size Issue"/>
    <x v="87"/>
    <s v="Returned"/>
    <s v="Valid"/>
    <s v="Processed"/>
  </r>
  <r>
    <x v="301"/>
    <x v="81"/>
    <s v="Valid Q4"/>
    <s v="CUST_10306"/>
    <x v="0"/>
    <s v="BOT-FRZ-M"/>
    <x v="3"/>
    <s v="Frozen Pants"/>
    <n v="2399"/>
    <n v="1"/>
    <s v="Valid Quantity"/>
    <n v="2399"/>
    <x v="161"/>
    <s v="Dec-20"/>
    <n v="20"/>
    <n v="479.8"/>
    <x v="3"/>
    <x v="2"/>
    <s v="Kolkata"/>
    <s v="West Bengal"/>
    <s v="Delhi"/>
    <d v="2025-01-12T00:00:00"/>
    <s v="Valid Date"/>
    <s v="On time delivery"/>
    <s v="Delivered"/>
    <x v="1"/>
    <m/>
    <x v="2"/>
    <s v="Not Returned"/>
    <s v="Not returned"/>
    <s v="Not Applicable"/>
  </r>
  <r>
    <x v="302"/>
    <x v="81"/>
    <s v="Valid Q4"/>
    <s v="CUST_10307"/>
    <x v="0"/>
    <s v="OUT-WNT-L"/>
    <x v="0"/>
    <s v="Winter Wonderland Coat"/>
    <n v="7299"/>
    <n v="1"/>
    <s v="Valid Quantity"/>
    <n v="7299"/>
    <x v="162"/>
    <m/>
    <n v="0"/>
    <n v="0"/>
    <x v="2"/>
    <x v="1"/>
    <s v="Chennai"/>
    <s v="Tamil Nadu"/>
    <s v="Bangalore"/>
    <d v="2025-01-13T00:00:00"/>
    <s v="Valid Date"/>
    <s v="On time delivery"/>
    <s v="Delivered"/>
    <x v="0"/>
    <s v="Changed Mind"/>
    <x v="88"/>
    <s v="Returned"/>
    <s v="Valid"/>
    <s v="Processed"/>
  </r>
  <r>
    <x v="303"/>
    <x v="81"/>
    <s v="Valid Q4"/>
    <s v="CUST_10308"/>
    <x v="1"/>
    <s v="ACC-SNF-OS"/>
    <x v="4"/>
    <s v="Snowflake Pendant"/>
    <n v="899"/>
    <n v="1"/>
    <s v="Valid Quantity"/>
    <n v="899"/>
    <x v="45"/>
    <m/>
    <n v="0"/>
    <n v="0"/>
    <x v="4"/>
    <x v="0"/>
    <s v="Hyderabad"/>
    <s v="Telangana"/>
    <s v="Bangalore"/>
    <d v="2025-01-12T00:00:00"/>
    <s v="Valid Date"/>
    <s v="On time delivery"/>
    <s v="Delivered"/>
    <x v="0"/>
    <s v="Quality Defect"/>
    <x v="86"/>
    <s v="Returned"/>
    <s v="Valid"/>
    <s v="Processed"/>
  </r>
  <r>
    <x v="304"/>
    <x v="82"/>
    <s v="Valid Q4"/>
    <s v="CUST_10309"/>
    <x v="0"/>
    <s v="TOP-XMS-M"/>
    <x v="1"/>
    <s v="Christmas Spirit Top"/>
    <n v="1999"/>
    <n v="1"/>
    <s v="Valid Quantity"/>
    <n v="1999"/>
    <x v="29"/>
    <s v="Dec-20"/>
    <n v="20"/>
    <n v="399.8"/>
    <x v="0"/>
    <x v="2"/>
    <s v="Pune"/>
    <s v="Maharashtra"/>
    <s v="Mumbai"/>
    <d v="2025-01-13T00:00:00"/>
    <s v="Valid Date"/>
    <s v="On time delivery"/>
    <s v="Delivered"/>
    <x v="1"/>
    <m/>
    <x v="2"/>
    <s v="Not Returned"/>
    <s v="Not returned"/>
    <s v="Not Applicable"/>
  </r>
  <r>
    <x v="305"/>
    <x v="82"/>
    <s v="Valid Q4"/>
    <s v="CUST_10310"/>
    <x v="0"/>
    <s v="DRS-NYR-L"/>
    <x v="2"/>
    <s v="New Year Ready Dress"/>
    <n v="4699"/>
    <n v="1"/>
    <s v="Valid Quantity"/>
    <n v="4699"/>
    <x v="163"/>
    <m/>
    <n v="0"/>
    <n v="0"/>
    <x v="1"/>
    <x v="1"/>
    <s v="Ahmedabad"/>
    <s v="Gujarat"/>
    <s v="Mumbai"/>
    <d v="2025-01-14T00:00:00"/>
    <s v="Valid Date"/>
    <s v="On time delivery"/>
    <s v="Delivered"/>
    <x v="0"/>
    <s v="Size Issue"/>
    <x v="89"/>
    <s v="Returned"/>
    <s v="Valid"/>
    <s v="Processed"/>
  </r>
  <r>
    <x v="306"/>
    <x v="82"/>
    <s v="Valid Q4"/>
    <s v="CUST_10311"/>
    <x v="0"/>
    <s v="BOT-HLD-S"/>
    <x v="3"/>
    <s v="Holiday Special Pants"/>
    <n v="2299"/>
    <n v="1"/>
    <s v="Valid Quantity"/>
    <n v="2299"/>
    <x v="3"/>
    <m/>
    <n v="0"/>
    <n v="0"/>
    <x v="3"/>
    <x v="0"/>
    <s v="Jaipur"/>
    <s v="Rajasthan"/>
    <s v="Delhi"/>
    <d v="2025-01-14T00:00:00"/>
    <s v="Valid Date"/>
    <s v="On time delivery"/>
    <s v="Delivered"/>
    <x v="1"/>
    <m/>
    <x v="2"/>
    <s v="Not Returned"/>
    <s v="Not returned"/>
    <s v="Not Applicable"/>
  </r>
  <r>
    <x v="307"/>
    <x v="82"/>
    <s v="Valid Q4"/>
    <s v="CUST_10312"/>
    <x v="0"/>
    <s v="OUT-CEL-M"/>
    <x v="0"/>
    <s v="Celebrate Blazer"/>
    <n v="5399"/>
    <n v="1"/>
    <s v="Valid Quantity"/>
    <n v="5399"/>
    <x v="164"/>
    <s v="Dec-20"/>
    <n v="20"/>
    <n v="1079.8"/>
    <x v="2"/>
    <x v="2"/>
    <s v="Lucknow"/>
    <s v="Uttar Pradesh"/>
    <s v="Delhi"/>
    <d v="2025-01-15T00:00:00"/>
    <s v="Valid Date"/>
    <s v="On time delivery"/>
    <s v="Delivered"/>
    <x v="0"/>
    <s v="Wrong Item"/>
    <x v="90"/>
    <s v="Returned"/>
    <s v="Valid"/>
    <s v="Processed"/>
  </r>
  <r>
    <x v="308"/>
    <x v="83"/>
    <s v="Valid Q4"/>
    <s v="CUST_10313"/>
    <x v="1"/>
    <s v="ACC-WRM-OS"/>
    <x v="4"/>
    <s v="Warm Wishes Scarf"/>
    <n v="1199"/>
    <n v="1"/>
    <s v="Valid Quantity"/>
    <n v="1199"/>
    <x v="132"/>
    <m/>
    <n v="0"/>
    <n v="0"/>
    <x v="4"/>
    <x v="1"/>
    <s v="Bangalore"/>
    <s v="Karnataka"/>
    <s v="Bangalore"/>
    <d v="2025-01-14T00:00:00"/>
    <s v="Valid Date"/>
    <s v="On time delivery"/>
    <s v="Delivered"/>
    <x v="1"/>
    <m/>
    <x v="2"/>
    <s v="Not Returned"/>
    <s v="Not returned"/>
    <s v="Not Applicable"/>
  </r>
  <r>
    <x v="309"/>
    <x v="83"/>
    <s v="Valid Q4"/>
    <s v="CUST_10314"/>
    <x v="0"/>
    <s v="TOP-FLK-L"/>
    <x v="1"/>
    <s v="Snowflake Top"/>
    <n v="2199"/>
    <n v="1"/>
    <s v="Valid Quantity"/>
    <n v="2199"/>
    <x v="48"/>
    <m/>
    <n v="0"/>
    <n v="0"/>
    <x v="0"/>
    <x v="0"/>
    <s v="Mumbai"/>
    <s v="Maharashtra"/>
    <s v="Mumbai"/>
    <d v="2025-01-15T00:00:00"/>
    <s v="Valid Date"/>
    <s v="On time delivery"/>
    <s v="Delivered"/>
    <x v="0"/>
    <s v="Damaged in Transit"/>
    <x v="89"/>
    <s v="Returned"/>
    <s v="Valid"/>
    <s v="Processed"/>
  </r>
  <r>
    <x v="310"/>
    <x v="83"/>
    <s v="Valid Q4"/>
    <s v="CUST_10315"/>
    <x v="0"/>
    <s v="DRS-SPR-S"/>
    <x v="2"/>
    <s v="Sparkle Season Dress"/>
    <n v="3799"/>
    <n v="1"/>
    <s v="Valid Quantity"/>
    <n v="3799"/>
    <x v="146"/>
    <s v="Dec-20"/>
    <n v="20"/>
    <n v="759.8"/>
    <x v="1"/>
    <x v="2"/>
    <s v="Delhi"/>
    <s v="Delhi"/>
    <s v="Delhi"/>
    <d v="2025-01-16T00:00:00"/>
    <s v="Valid Date"/>
    <s v="On time delivery"/>
    <s v="Delivered"/>
    <x v="0"/>
    <s v="Size Issue"/>
    <x v="91"/>
    <s v="Returned"/>
    <s v="Valid"/>
    <s v="Processed"/>
  </r>
  <r>
    <x v="311"/>
    <x v="83"/>
    <s v="Valid Q4"/>
    <s v="CUST_10316"/>
    <x v="0"/>
    <s v="BOT-CHR-M"/>
    <x v="3"/>
    <s v="Cheer Pants"/>
    <n v="2499"/>
    <n v="1"/>
    <s v="Valid Quantity"/>
    <n v="2499"/>
    <x v="7"/>
    <m/>
    <n v="0"/>
    <n v="0"/>
    <x v="3"/>
    <x v="1"/>
    <s v="Chandigarh"/>
    <s v="Punjab"/>
    <s v="Delhi"/>
    <d v="2025-01-16T00:00:00"/>
    <s v="Valid Date"/>
    <s v="On time delivery"/>
    <s v="Delivered"/>
    <x v="1"/>
    <m/>
    <x v="2"/>
    <s v="Not Returned"/>
    <s v="Not returned"/>
    <s v="Not Applicable"/>
  </r>
  <r>
    <x v="312"/>
    <x v="84"/>
    <s v="Valid Q4"/>
    <s v="CUST_10317"/>
    <x v="0"/>
    <s v="OUT-XMS-L"/>
    <x v="0"/>
    <s v="Christmas Coat"/>
    <n v="6499"/>
    <n v="1"/>
    <s v="Valid Quantity"/>
    <n v="6499"/>
    <x v="136"/>
    <m/>
    <n v="0"/>
    <n v="0"/>
    <x v="2"/>
    <x v="0"/>
    <s v="Noida"/>
    <s v="Uttar Pradesh"/>
    <s v="Delhi"/>
    <d v="2025-01-17T00:00:00"/>
    <s v="Valid Date"/>
    <s v="On time delivery"/>
    <s v="Delivered"/>
    <x v="0"/>
    <s v="Changed Mind"/>
    <x v="92"/>
    <s v="Returned"/>
    <s v="Valid"/>
    <s v="Processed"/>
  </r>
  <r>
    <x v="313"/>
    <x v="84"/>
    <s v="Valid Q4"/>
    <s v="CUST_10318"/>
    <x v="1"/>
    <s v="ACC-BEL-OS"/>
    <x v="4"/>
    <s v="Bell Earrings"/>
    <n v="499"/>
    <n v="3"/>
    <s v="Valid Quantity"/>
    <n v="1497"/>
    <x v="165"/>
    <s v="Dec-20"/>
    <n v="20"/>
    <n v="299.39999999999998"/>
    <x v="4"/>
    <x v="2"/>
    <s v="Gurgaon"/>
    <s v="Haryana"/>
    <s v="Delhi"/>
    <d v="2025-01-16T00:00:00"/>
    <s v="Valid Date"/>
    <s v="On time delivery"/>
    <s v="Delivered"/>
    <x v="1"/>
    <m/>
    <x v="2"/>
    <s v="Not Returned"/>
    <s v="Not returned"/>
    <s v="Not Applicable"/>
  </r>
  <r>
    <x v="314"/>
    <x v="84"/>
    <s v="Valid Q4"/>
    <s v="CUST_10319"/>
    <x v="0"/>
    <s v="TOP-RDR-M"/>
    <x v="1"/>
    <s v="Reindeer Top"/>
    <n v="1799"/>
    <n v="1"/>
    <s v="Valid Quantity"/>
    <n v="1799"/>
    <x v="30"/>
    <m/>
    <n v="0"/>
    <n v="0"/>
    <x v="0"/>
    <x v="1"/>
    <s v="Indore"/>
    <s v="Madhya Pradesh"/>
    <s v="Mumbai"/>
    <d v="2025-01-17T00:00:00"/>
    <s v="Valid Date"/>
    <s v="On time delivery"/>
    <s v="Delivered"/>
    <x v="0"/>
    <s v="Quality Defect"/>
    <x v="91"/>
    <s v="Returned"/>
    <s v="Valid"/>
    <s v="Processed"/>
  </r>
  <r>
    <x v="315"/>
    <x v="84"/>
    <s v="Valid Q4"/>
    <s v="CUST_10320"/>
    <x v="0"/>
    <s v="DRS-STR-L"/>
    <x v="2"/>
    <s v="Star Bright Dress"/>
    <n v="4299"/>
    <n v="1"/>
    <s v="Valid Quantity"/>
    <n v="4299"/>
    <x v="64"/>
    <m/>
    <n v="0"/>
    <n v="0"/>
    <x v="1"/>
    <x v="0"/>
    <s v="Surat"/>
    <s v="Gujarat"/>
    <s v="Mumbai"/>
    <d v="2025-01-18T00:00:00"/>
    <s v="Valid Date"/>
    <s v="On time delivery"/>
    <s v="Delivered"/>
    <x v="0"/>
    <s v="Size Issue"/>
    <x v="93"/>
    <s v="Returned"/>
    <s v="Valid"/>
    <s v="Processed"/>
  </r>
  <r>
    <x v="316"/>
    <x v="85"/>
    <s v="Valid Q4"/>
    <s v="CUST_10321"/>
    <x v="0"/>
    <s v="BOT-MRY-S"/>
    <x v="3"/>
    <s v="Merry Leggings"/>
    <n v="1899"/>
    <n v="1"/>
    <s v="Valid Quantity"/>
    <n v="1899"/>
    <x v="49"/>
    <s v="Dec-20"/>
    <n v="20"/>
    <n v="379.8"/>
    <x v="3"/>
    <x v="2"/>
    <s v="Patna"/>
    <s v="Bihar"/>
    <s v="Delhi"/>
    <d v="2025-01-18T00:00:00"/>
    <s v="Valid Date"/>
    <s v="On time delivery"/>
    <s v="Delivered"/>
    <x v="1"/>
    <m/>
    <x v="2"/>
    <s v="Not Returned"/>
    <s v="Not returned"/>
    <s v="Not Applicable"/>
  </r>
  <r>
    <x v="317"/>
    <x v="85"/>
    <s v="Valid Q4"/>
    <s v="CUST_10322"/>
    <x v="0"/>
    <s v="OUT-JOL-M"/>
    <x v="0"/>
    <s v="Jolly Jacket"/>
    <n v="4999"/>
    <n v="1"/>
    <s v="Valid Quantity"/>
    <n v="4999"/>
    <x v="55"/>
    <m/>
    <n v="0"/>
    <n v="0"/>
    <x v="2"/>
    <x v="1"/>
    <s v="Bhopal"/>
    <s v="Madhya Pradesh"/>
    <s v="Mumbai"/>
    <d v="2025-01-19T00:00:00"/>
    <s v="Valid Date"/>
    <s v="On time delivery"/>
    <s v="Delivered"/>
    <x v="0"/>
    <s v="Wrong Item"/>
    <x v="94"/>
    <s v="Returned"/>
    <s v="Valid"/>
    <s v="Processed"/>
  </r>
  <r>
    <x v="318"/>
    <x v="85"/>
    <s v="Valid Q4"/>
    <s v="CUST_10323"/>
    <x v="1"/>
    <s v="ACC-GFT-OS"/>
    <x v="4"/>
    <s v="Gift Box Clutch"/>
    <n v="1399"/>
    <n v="1"/>
    <s v="Valid Quantity"/>
    <n v="1399"/>
    <x v="46"/>
    <m/>
    <n v="0"/>
    <n v="0"/>
    <x v="4"/>
    <x v="0"/>
    <s v="Nagpur"/>
    <s v="Maharashtra"/>
    <s v="Mumbai"/>
    <d v="2025-01-18T00:00:00"/>
    <s v="Valid Date"/>
    <s v="On time delivery"/>
    <s v="Delivered"/>
    <x v="1"/>
    <m/>
    <x v="2"/>
    <s v="Not Returned"/>
    <s v="Not returned"/>
    <s v="Not Applicable"/>
  </r>
  <r>
    <x v="319"/>
    <x v="85"/>
    <s v="Valid Q4"/>
    <s v="CUST_10324"/>
    <x v="0"/>
    <s v="TOP-HLY-L"/>
    <x v="1"/>
    <s v="Holly Top"/>
    <n v="2099"/>
    <n v="1"/>
    <s v="Valid Quantity"/>
    <n v="2099"/>
    <x v="42"/>
    <s v="Dec-20"/>
    <n v="20"/>
    <n v="419.8"/>
    <x v="0"/>
    <x v="2"/>
    <s v="Coimbatore"/>
    <s v="Tamil Nadu"/>
    <s v="Bangalore"/>
    <d v="2025-01-19T00:00:00"/>
    <s v="Valid Date"/>
    <s v="On time delivery"/>
    <s v="Delivered"/>
    <x v="0"/>
    <s v="Damaged in Transit"/>
    <x v="93"/>
    <s v="Returned"/>
    <s v="Valid"/>
    <s v="Processed"/>
  </r>
  <r>
    <x v="320"/>
    <x v="86"/>
    <s v="Valid Q4"/>
    <s v="CUST_10325"/>
    <x v="0"/>
    <s v="DRS-BOX-S"/>
    <x v="2"/>
    <s v="Boxing Day Dress"/>
    <n v="2999"/>
    <n v="1"/>
    <s v="Valid Quantity"/>
    <n v="2999"/>
    <x v="27"/>
    <m/>
    <n v="0"/>
    <n v="0"/>
    <x v="1"/>
    <x v="1"/>
    <s v="Kochi"/>
    <s v="Kerala"/>
    <s v="Bangalore"/>
    <d v="2025-01-20T00:00:00"/>
    <s v="Valid Date"/>
    <s v="On time delivery"/>
    <s v="Delivered"/>
    <x v="0"/>
    <s v="Size Issue"/>
    <x v="95"/>
    <s v="Returned"/>
    <s v="Valid"/>
    <s v="Processed"/>
  </r>
  <r>
    <x v="321"/>
    <x v="86"/>
    <s v="Valid Q4"/>
    <s v="CUST_10326"/>
    <x v="0"/>
    <s v="BOT-SLE-M"/>
    <x v="3"/>
    <s v="Sale Season Pants"/>
    <n v="2199"/>
    <n v="1"/>
    <s v="Valid Quantity"/>
    <n v="2199"/>
    <x v="48"/>
    <m/>
    <n v="0"/>
    <n v="0"/>
    <x v="3"/>
    <x v="0"/>
    <s v="Vizag"/>
    <s v="Andhra Pradesh"/>
    <s v="Bangalore"/>
    <d v="2025-01-20T00:00:00"/>
    <s v="Valid Date"/>
    <s v="On time delivery"/>
    <s v="Delivered"/>
    <x v="1"/>
    <m/>
    <x v="2"/>
    <s v="Not Returned"/>
    <s v="Not returned"/>
    <s v="Not Applicable"/>
  </r>
  <r>
    <x v="322"/>
    <x v="86"/>
    <s v="Valid Q4"/>
    <s v="CUST_10327"/>
    <x v="0"/>
    <s v="OUT-SAL-L"/>
    <x v="0"/>
    <s v="Sale Special Coat"/>
    <n v="5999"/>
    <n v="1"/>
    <s v="Valid Quantity"/>
    <n v="5999"/>
    <x v="37"/>
    <s v="Dec-20"/>
    <n v="20"/>
    <n v="1199.8"/>
    <x v="2"/>
    <x v="2"/>
    <s v="Thiruvananthapuram"/>
    <s v="Kerala"/>
    <s v="Bangalore"/>
    <d v="2025-01-21T00:00:00"/>
    <s v="Valid Date"/>
    <s v="On time delivery"/>
    <s v="Delivered"/>
    <x v="0"/>
    <s v="Changed Mind"/>
    <x v="96"/>
    <s v="Returned"/>
    <s v="Valid"/>
    <s v="Processed"/>
  </r>
  <r>
    <x v="323"/>
    <x v="86"/>
    <s v="Valid Q4"/>
    <s v="CUST_10328"/>
    <x v="1"/>
    <s v="ACC-DIS-OS"/>
    <x v="4"/>
    <s v="Discount Find Bag"/>
    <n v="1299"/>
    <n v="1"/>
    <s v="Valid Quantity"/>
    <n v="1299"/>
    <x v="36"/>
    <m/>
    <n v="0"/>
    <n v="0"/>
    <x v="4"/>
    <x v="1"/>
    <s v="Mysore"/>
    <s v="Karnataka"/>
    <s v="Bangalore"/>
    <d v="2025-01-20T00:00:00"/>
    <s v="Valid Date"/>
    <s v="On time delivery"/>
    <s v="Delivered"/>
    <x v="0"/>
    <s v="Quality Defect"/>
    <x v="94"/>
    <s v="Returned"/>
    <s v="Valid"/>
    <s v="Processed"/>
  </r>
  <r>
    <x v="324"/>
    <x v="87"/>
    <s v="Valid Q4"/>
    <s v="CUST_10329"/>
    <x v="0"/>
    <s v="TOP-CLR-M"/>
    <x v="1"/>
    <s v="Clearance Top"/>
    <n v="999"/>
    <n v="2"/>
    <s v="Valid Quantity"/>
    <n v="1998"/>
    <x v="39"/>
    <m/>
    <n v="0"/>
    <n v="0"/>
    <x v="0"/>
    <x v="0"/>
    <s v="Vadodara"/>
    <s v="Gujarat"/>
    <s v="Mumbai"/>
    <d v="2025-01-21T00:00:00"/>
    <s v="Valid Date"/>
    <s v="On time delivery"/>
    <s v="Delivered"/>
    <x v="1"/>
    <m/>
    <x v="2"/>
    <s v="Not Returned"/>
    <s v="Not returned"/>
    <s v="Not Applicable"/>
  </r>
  <r>
    <x v="325"/>
    <x v="87"/>
    <s v="Valid Q4"/>
    <s v="CUST_10330"/>
    <x v="0"/>
    <s v="DRS-END-L"/>
    <x v="2"/>
    <s v="Year End Dress"/>
    <n v="3499"/>
    <n v="1"/>
    <s v="Valid Quantity"/>
    <n v="3499"/>
    <x v="166"/>
    <s v="Dec-20"/>
    <n v="20"/>
    <n v="699.8"/>
    <x v="1"/>
    <x v="2"/>
    <s v="Rajkot"/>
    <s v="Gujarat"/>
    <s v="Mumbai"/>
    <d v="2025-01-22T00:00:00"/>
    <s v="Valid Date"/>
    <s v="On time delivery"/>
    <s v="Delivered"/>
    <x v="0"/>
    <s v="Size Issue"/>
    <x v="97"/>
    <s v="Returned"/>
    <s v="Valid"/>
    <s v="Processed"/>
  </r>
  <r>
    <x v="326"/>
    <x v="87"/>
    <s v="Valid Q4"/>
    <s v="CUST_10331"/>
    <x v="0"/>
    <s v="BOT-FNL-S"/>
    <x v="3"/>
    <s v="Final Sale Pants"/>
    <n v="1799"/>
    <n v="1"/>
    <s v="Valid Quantity"/>
    <n v="1799"/>
    <x v="30"/>
    <m/>
    <n v="0"/>
    <n v="0"/>
    <x v="3"/>
    <x v="1"/>
    <s v="Kanpur"/>
    <s v="Uttar Pradesh"/>
    <s v="Delhi"/>
    <d v="2025-01-22T00:00:00"/>
    <s v="Valid Date"/>
    <s v="On time delivery"/>
    <s v="Delivered"/>
    <x v="1"/>
    <m/>
    <x v="2"/>
    <s v="Not Returned"/>
    <s v="Not returned"/>
    <s v="Not Applicable"/>
  </r>
  <r>
    <x v="327"/>
    <x v="87"/>
    <s v="Valid Q4"/>
    <s v="CUST_10332"/>
    <x v="0"/>
    <s v="OUT-LST-M"/>
    <x v="0"/>
    <s v="Last Chance Jacket"/>
    <n v="4599"/>
    <n v="1"/>
    <s v="Valid Quantity"/>
    <n v="4599"/>
    <x v="110"/>
    <m/>
    <n v="0"/>
    <n v="0"/>
    <x v="2"/>
    <x v="0"/>
    <s v="Mumbai"/>
    <s v="Maharashtra"/>
    <s v="Mumbai"/>
    <d v="2025-01-23T00:00:00"/>
    <s v="Valid Date"/>
    <s v="On time delivery"/>
    <s v="Delivered"/>
    <x v="0"/>
    <s v="Wrong Item"/>
    <x v="98"/>
    <s v="Returned"/>
    <s v="Valid"/>
    <s v="Processed"/>
  </r>
  <r>
    <x v="328"/>
    <x v="88"/>
    <s v="Valid Q4"/>
    <s v="CUST_10333"/>
    <x v="1"/>
    <s v="ACC-NWY-OS"/>
    <x v="4"/>
    <s v="New Year Tiara"/>
    <n v="799"/>
    <n v="1"/>
    <s v="Valid Quantity"/>
    <n v="799"/>
    <x v="167"/>
    <s v="Dec-20"/>
    <n v="20"/>
    <n v="159.80000000000001"/>
    <x v="4"/>
    <x v="2"/>
    <s v="Delhi"/>
    <s v="Delhi"/>
    <s v="Delhi"/>
    <d v="2025-01-22T00:00:00"/>
    <s v="Valid Date"/>
    <s v="On time delivery"/>
    <s v="Delivered"/>
    <x v="1"/>
    <m/>
    <x v="2"/>
    <s v="Not Returned"/>
    <s v="Not returned"/>
    <s v="Not Applicable"/>
  </r>
  <r>
    <x v="329"/>
    <x v="88"/>
    <s v="Valid Q4"/>
    <s v="CUST_10334"/>
    <x v="0"/>
    <s v="TOP-BYE-L"/>
    <x v="1"/>
    <s v="Goodbye 2024 Top"/>
    <n v="1899"/>
    <n v="1"/>
    <s v="Valid Quantity"/>
    <n v="1899"/>
    <x v="23"/>
    <m/>
    <n v="0"/>
    <n v="0"/>
    <x v="0"/>
    <x v="1"/>
    <s v="Kolkata"/>
    <s v="West Bengal"/>
    <s v="Delhi"/>
    <d v="2025-01-23T00:00:00"/>
    <s v="Valid Date"/>
    <s v="On time delivery"/>
    <s v="Delivered"/>
    <x v="0"/>
    <s v="Damaged in Transit"/>
    <x v="97"/>
    <s v="Returned"/>
    <s v="Valid"/>
    <s v="Processed"/>
  </r>
  <r>
    <x v="330"/>
    <x v="88"/>
    <s v="Valid Q4"/>
    <s v="CUST_10335"/>
    <x v="0"/>
    <s v="DRS-WLC-S"/>
    <x v="2"/>
    <s v="Welcome 2025 Dress"/>
    <n v="4099"/>
    <n v="1"/>
    <s v="Valid Quantity"/>
    <n v="4099"/>
    <x v="168"/>
    <m/>
    <n v="0"/>
    <n v="0"/>
    <x v="1"/>
    <x v="0"/>
    <s v="Chennai"/>
    <s v="Tamil Nadu"/>
    <s v="Bangalore"/>
    <d v="2025-01-24T00:00:00"/>
    <s v="Valid Date"/>
    <s v="On time delivery"/>
    <s v="Delivered"/>
    <x v="0"/>
    <s v="Size Issue"/>
    <x v="99"/>
    <s v="Returned"/>
    <s v="Valid"/>
    <s v="Processed"/>
  </r>
  <r>
    <x v="331"/>
    <x v="88"/>
    <s v="Valid Q4"/>
    <s v="CUST_10336"/>
    <x v="0"/>
    <s v="BOT-RES-M"/>
    <x v="3"/>
    <s v="Resolution Pants"/>
    <n v="2299"/>
    <n v="1"/>
    <s v="Valid Quantity"/>
    <n v="2299"/>
    <x v="144"/>
    <s v="Dec-20"/>
    <n v="20"/>
    <n v="459.8"/>
    <x v="3"/>
    <x v="2"/>
    <s v="Hyderabad"/>
    <s v="Telangana"/>
    <s v="Bangalore"/>
    <d v="2025-01-24T00:00:00"/>
    <s v="Valid Date"/>
    <s v="On time delivery"/>
    <s v="Delivered"/>
    <x v="1"/>
    <m/>
    <x v="2"/>
    <s v="Not Returned"/>
    <s v="Not returned"/>
    <s v="Not Applicable"/>
  </r>
  <r>
    <x v="332"/>
    <x v="89"/>
    <s v="Valid Q4"/>
    <s v="CUST_10337"/>
    <x v="0"/>
    <s v="OUT-HOP-L"/>
    <x v="0"/>
    <s v="Hope Coat"/>
    <n v="5799"/>
    <n v="1"/>
    <s v="Valid Quantity"/>
    <n v="5799"/>
    <x v="169"/>
    <m/>
    <n v="0"/>
    <n v="0"/>
    <x v="2"/>
    <x v="1"/>
    <s v="Pune"/>
    <s v="Maharashtra"/>
    <s v="Mumbai"/>
    <d v="2025-01-25T00:00:00"/>
    <s v="Valid Date"/>
    <s v="On time delivery"/>
    <s v="Delivered"/>
    <x v="0"/>
    <s v="Changed Mind"/>
    <x v="100"/>
    <s v="Returned"/>
    <s v="Valid"/>
    <s v="Processed"/>
  </r>
  <r>
    <x v="333"/>
    <x v="89"/>
    <s v="Valid Q4"/>
    <s v="CUST_10338"/>
    <x v="1"/>
    <s v="ACC-DRM-OS"/>
    <x v="4"/>
    <s v="Dream Catcher Earrings"/>
    <n v="699"/>
    <n v="2"/>
    <s v="Valid Quantity"/>
    <n v="1398"/>
    <x v="117"/>
    <m/>
    <n v="0"/>
    <n v="0"/>
    <x v="4"/>
    <x v="0"/>
    <s v="Ahmedabad"/>
    <s v="Gujarat"/>
    <s v="Mumbai"/>
    <d v="2025-01-24T00:00:00"/>
    <s v="Valid Date"/>
    <s v="On time delivery"/>
    <s v="Delivered"/>
    <x v="0"/>
    <s v="Quality Defect"/>
    <x v="98"/>
    <s v="Returned"/>
    <s v="Valid"/>
    <s v="Processed"/>
  </r>
  <r>
    <x v="334"/>
    <x v="90"/>
    <s v="Valid Q4"/>
    <s v="CUST_10341"/>
    <x v="0"/>
    <s v="BOT-NEW-S"/>
    <x v="3"/>
    <s v="New Beginning Pants"/>
    <n v="2099"/>
    <n v="1"/>
    <s v="Valid Quantity"/>
    <n v="2099"/>
    <x v="114"/>
    <m/>
    <n v="0"/>
    <n v="0"/>
    <x v="3"/>
    <x v="0"/>
    <s v="Bangalore"/>
    <s v="Karnataka"/>
    <s v="Bangalore"/>
    <d v="2025-01-26T00:00:00"/>
    <s v="Valid Date"/>
    <s v="On time delivery"/>
    <s v="Delivered"/>
    <x v="1"/>
    <m/>
    <x v="2"/>
    <s v="Not Returned"/>
    <s v="Not returned"/>
    <s v="Not Applicable"/>
  </r>
  <r>
    <x v="335"/>
    <x v="90"/>
    <s v="Valid Q4"/>
    <s v="CUST_10342"/>
    <x v="0"/>
    <s v="OUT-FRE-M"/>
    <x v="0"/>
    <s v="Fresh Start Jacket"/>
    <n v="4899"/>
    <n v="1"/>
    <s v="Valid Quantity"/>
    <n v="4899"/>
    <x v="170"/>
    <s v="Dec-20"/>
    <n v="20"/>
    <n v="979.8"/>
    <x v="2"/>
    <x v="2"/>
    <s v="Mumbai"/>
    <s v="Maharashtra"/>
    <s v="Mumbai"/>
    <d v="2025-01-27T00:00:00"/>
    <s v="Valid Date"/>
    <s v="On time delivery"/>
    <s v="Delivered"/>
    <x v="0"/>
    <s v="Wrong Item"/>
    <x v="101"/>
    <s v="Returned"/>
    <s v="Valid"/>
    <s v="Processed"/>
  </r>
  <r>
    <x v="336"/>
    <x v="90"/>
    <s v="Valid Q4"/>
    <s v="CUST_10343"/>
    <x v="1"/>
    <s v="ACC-LCK-OS"/>
    <x v="4"/>
    <s v="Lucky Charm Bracelet"/>
    <n v="599"/>
    <n v="3"/>
    <s v="Valid Quantity"/>
    <n v="1797"/>
    <x v="158"/>
    <m/>
    <n v="0"/>
    <n v="0"/>
    <x v="4"/>
    <x v="1"/>
    <s v="Delhi"/>
    <s v="Delhi"/>
    <s v="Delhi"/>
    <d v="2025-01-26T00:00:00"/>
    <s v="Valid Date"/>
    <s v="On time delivery"/>
    <s v="Delivered"/>
    <x v="1"/>
    <m/>
    <x v="2"/>
    <s v="Not Returned"/>
    <s v="Not returned"/>
    <s v="Not Applicable"/>
  </r>
  <r>
    <x v="337"/>
    <x v="90"/>
    <s v="Valid Q4"/>
    <s v="CUST_10344"/>
    <x v="0"/>
    <s v="TOP-BEG-L"/>
    <x v="1"/>
    <s v="Begin Again Top"/>
    <n v="2199"/>
    <n v="1"/>
    <s v="Valid Quantity"/>
    <n v="2199"/>
    <x v="48"/>
    <m/>
    <n v="0"/>
    <n v="0"/>
    <x v="0"/>
    <x v="0"/>
    <s v="Chandigarh"/>
    <s v="Punjab"/>
    <s v="Delhi"/>
    <d v="2025-01-27T00:00:00"/>
    <s v="Valid Date"/>
    <s v="On time delivery"/>
    <s v="Delivered"/>
    <x v="0"/>
    <s v="Damaged in Transit"/>
    <x v="102"/>
    <s v="Returned"/>
    <s v="Valid"/>
    <s v="Processed"/>
  </r>
  <r>
    <x v="338"/>
    <x v="91"/>
    <s v="Valid Q4"/>
    <s v="CUST_10345"/>
    <x v="0"/>
    <s v="DRS-CNT-S"/>
    <x v="2"/>
    <s v="Countdown Dress"/>
    <n v="4499"/>
    <n v="1"/>
    <s v="Valid Quantity"/>
    <n v="4499"/>
    <x v="159"/>
    <s v="Dec-20"/>
    <n v="20"/>
    <n v="899.8"/>
    <x v="1"/>
    <x v="2"/>
    <s v="Noida"/>
    <s v="Uttar Pradesh"/>
    <s v="Delhi"/>
    <d v="2025-01-28T00:00:00"/>
    <s v="Valid Date"/>
    <s v="On time delivery"/>
    <s v="Delivered"/>
    <x v="0"/>
    <s v="Size Issue"/>
    <x v="103"/>
    <s v="Returned"/>
    <s v="Valid"/>
    <s v="Process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3956F4-C75F-426E-83BA-3B628873BE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F20" firstHeaderRow="0" firstDataRow="1" firstDataCol="1"/>
  <pivotFields count="35">
    <pivotField dataField="1" showAll="0">
      <items count="3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axis="axisRow"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showAll="0"/>
    <pivotField showAll="0"/>
    <pivotField showAll="0"/>
    <pivotField dataField="1" showAll="0"/>
    <pivotField showAll="0"/>
    <pivotField showAll="0"/>
    <pivotField dataField="1" showAll="0">
      <items count="172">
        <item x="104"/>
        <item x="90"/>
        <item x="167"/>
        <item x="119"/>
        <item x="68"/>
        <item x="93"/>
        <item x="143"/>
        <item x="60"/>
        <item x="17"/>
        <item x="11"/>
        <item x="62"/>
        <item x="45"/>
        <item x="106"/>
        <item x="141"/>
        <item x="79"/>
        <item x="128"/>
        <item x="56"/>
        <item x="101"/>
        <item x="22"/>
        <item x="126"/>
        <item x="63"/>
        <item x="80"/>
        <item x="65"/>
        <item x="165"/>
        <item x="75"/>
        <item x="98"/>
        <item x="132"/>
        <item x="57"/>
        <item x="86"/>
        <item x="47"/>
        <item x="124"/>
        <item x="36"/>
        <item x="32"/>
        <item x="73"/>
        <item x="103"/>
        <item x="117"/>
        <item x="46"/>
        <item x="108"/>
        <item x="151"/>
        <item x="71"/>
        <item x="109"/>
        <item x="53"/>
        <item x="113"/>
        <item x="43"/>
        <item x="99"/>
        <item x="49"/>
        <item x="40"/>
        <item x="111"/>
        <item x="85"/>
        <item x="82"/>
        <item x="38"/>
        <item x="28"/>
        <item x="29"/>
        <item x="54"/>
        <item x="42"/>
        <item x="94"/>
        <item x="15"/>
        <item x="34"/>
        <item x="2"/>
        <item x="50"/>
        <item x="158"/>
        <item x="25"/>
        <item x="30"/>
        <item x="96"/>
        <item x="144"/>
        <item x="66"/>
        <item x="23"/>
        <item x="161"/>
        <item x="91"/>
        <item x="39"/>
        <item x="72"/>
        <item x="138"/>
        <item x="115"/>
        <item x="52"/>
        <item x="114"/>
        <item x="76"/>
        <item x="120"/>
        <item x="61"/>
        <item x="58"/>
        <item x="48"/>
        <item x="135"/>
        <item x="67"/>
        <item x="134"/>
        <item x="3"/>
        <item x="140"/>
        <item x="5"/>
        <item x="95"/>
        <item x="10"/>
        <item x="51"/>
        <item x="16"/>
        <item x="83"/>
        <item x="7"/>
        <item x="69"/>
        <item x="33"/>
        <item x="81"/>
        <item x="35"/>
        <item x="148"/>
        <item x="20"/>
        <item x="122"/>
        <item x="78"/>
        <item x="100"/>
        <item x="9"/>
        <item x="166"/>
        <item x="8"/>
        <item x="12"/>
        <item x="105"/>
        <item x="0"/>
        <item x="13"/>
        <item x="27"/>
        <item x="89"/>
        <item x="146"/>
        <item x="156"/>
        <item x="1"/>
        <item x="14"/>
        <item x="6"/>
        <item x="87"/>
        <item x="150"/>
        <item x="107"/>
        <item x="154"/>
        <item x="18"/>
        <item x="19"/>
        <item x="152"/>
        <item x="159"/>
        <item x="77"/>
        <item x="147"/>
        <item x="133"/>
        <item x="41"/>
        <item x="44"/>
        <item x="97"/>
        <item x="170"/>
        <item x="74"/>
        <item x="168"/>
        <item x="21"/>
        <item x="116"/>
        <item x="88"/>
        <item x="64"/>
        <item x="164"/>
        <item x="149"/>
        <item x="153"/>
        <item x="92"/>
        <item x="112"/>
        <item x="110"/>
        <item x="155"/>
        <item x="59"/>
        <item x="163"/>
        <item x="37"/>
        <item x="102"/>
        <item x="129"/>
        <item x="131"/>
        <item x="55"/>
        <item x="127"/>
        <item x="160"/>
        <item x="139"/>
        <item x="137"/>
        <item x="84"/>
        <item x="157"/>
        <item x="24"/>
        <item x="118"/>
        <item x="169"/>
        <item x="26"/>
        <item x="70"/>
        <item x="121"/>
        <item x="142"/>
        <item x="136"/>
        <item x="130"/>
        <item x="4"/>
        <item x="123"/>
        <item x="145"/>
        <item x="162"/>
        <item x="125"/>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5">
        <item x="1"/>
        <item x="0"/>
        <item x="3"/>
        <item x="5"/>
        <item x="4"/>
        <item x="6"/>
        <item x="7"/>
        <item x="8"/>
        <item x="9"/>
        <item x="10"/>
        <item x="11"/>
        <item x="13"/>
        <item x="12"/>
        <item x="15"/>
        <item x="14"/>
        <item x="16"/>
        <item x="17"/>
        <item x="18"/>
        <item x="19"/>
        <item x="20"/>
        <item x="21"/>
        <item x="22"/>
        <item x="23"/>
        <item x="25"/>
        <item x="24"/>
        <item x="28"/>
        <item x="26"/>
        <item x="27"/>
        <item x="29"/>
        <item x="30"/>
        <item x="31"/>
        <item x="32"/>
        <item x="34"/>
        <item x="33"/>
        <item x="35"/>
        <item x="36"/>
        <item x="37"/>
        <item x="38"/>
        <item x="40"/>
        <item x="39"/>
        <item x="41"/>
        <item x="43"/>
        <item x="42"/>
        <item x="44"/>
        <item x="45"/>
        <item x="48"/>
        <item x="46"/>
        <item x="47"/>
        <item x="49"/>
        <item x="50"/>
        <item x="51"/>
        <item x="52"/>
        <item x="53"/>
        <item x="54"/>
        <item x="55"/>
        <item x="57"/>
        <item x="56"/>
        <item x="59"/>
        <item x="58"/>
        <item x="61"/>
        <item x="60"/>
        <item x="62"/>
        <item x="63"/>
        <item x="64"/>
        <item x="65"/>
        <item x="67"/>
        <item x="66"/>
        <item x="70"/>
        <item x="68"/>
        <item x="6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2"/>
        <item t="default"/>
      </items>
    </pivotField>
    <pivotField showAll="0"/>
    <pivotField showAll="0"/>
    <pivotField showAll="0"/>
    <pivotField axis="axisRow" showAll="0">
      <items count="17">
        <item x="0"/>
        <item sd="0" x="1"/>
        <item sd="0" x="2"/>
        <item sd="0" x="3"/>
        <item sd="0" x="4"/>
        <item sd="0" x="5"/>
        <item sd="0" x="6"/>
        <item sd="0" x="7"/>
        <item sd="0" x="8"/>
        <item sd="0" x="9"/>
        <item sd="0" x="10"/>
        <item sd="0" x="11"/>
        <item sd="0" x="12"/>
        <item sd="0" x="13"/>
        <item x="14"/>
        <item x="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31"/>
    <field x="1"/>
  </rowFields>
  <rowItems count="16">
    <i>
      <x v="1"/>
    </i>
    <i>
      <x v="2"/>
    </i>
    <i>
      <x v="3"/>
    </i>
    <i>
      <x v="4"/>
    </i>
    <i>
      <x v="5"/>
    </i>
    <i>
      <x v="6"/>
    </i>
    <i>
      <x v="7"/>
    </i>
    <i>
      <x v="8"/>
    </i>
    <i>
      <x v="9"/>
    </i>
    <i>
      <x v="10"/>
    </i>
    <i>
      <x v="11"/>
    </i>
    <i>
      <x v="12"/>
    </i>
    <i>
      <x v="13"/>
    </i>
    <i>
      <x v="14"/>
    </i>
    <i r="1">
      <x v="91"/>
    </i>
    <i t="grand">
      <x/>
    </i>
  </rowItems>
  <colFields count="1">
    <field x="-2"/>
  </colFields>
  <colItems count="3">
    <i>
      <x/>
    </i>
    <i i="1">
      <x v="1"/>
    </i>
    <i i="2">
      <x v="2"/>
    </i>
  </colItems>
  <dataFields count="3">
    <dataField name="Total Order" fld="0" subtotal="count" baseField="0" baseItem="0"/>
    <dataField name="Totla Revenue (After discount)" fld="12" baseField="0" baseItem="1"/>
    <dataField name="Total Units Sold" fld="9"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314673-B973-4C07-8B5C-470CCB27CF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16" firstHeaderRow="0" firstDataRow="1" firstDataCol="1"/>
  <pivotFields count="35">
    <pivotField dataField="1" showAll="0">
      <items count="3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5">
        <item x="1"/>
        <item x="0"/>
        <item x="3"/>
        <item x="5"/>
        <item x="4"/>
        <item x="6"/>
        <item x="7"/>
        <item x="8"/>
        <item x="9"/>
        <item x="10"/>
        <item x="11"/>
        <item x="13"/>
        <item x="12"/>
        <item x="15"/>
        <item x="14"/>
        <item x="16"/>
        <item x="17"/>
        <item x="18"/>
        <item x="19"/>
        <item x="20"/>
        <item x="21"/>
        <item x="22"/>
        <item x="23"/>
        <item x="25"/>
        <item x="24"/>
        <item x="28"/>
        <item x="26"/>
        <item x="27"/>
        <item x="29"/>
        <item x="30"/>
        <item x="31"/>
        <item x="32"/>
        <item x="34"/>
        <item x="33"/>
        <item x="35"/>
        <item x="36"/>
        <item x="37"/>
        <item x="38"/>
        <item x="40"/>
        <item x="39"/>
        <item x="41"/>
        <item x="43"/>
        <item x="42"/>
        <item x="44"/>
        <item x="45"/>
        <item x="48"/>
        <item x="46"/>
        <item x="47"/>
        <item x="49"/>
        <item x="50"/>
        <item x="51"/>
        <item x="52"/>
        <item x="53"/>
        <item x="54"/>
        <item x="55"/>
        <item x="57"/>
        <item x="56"/>
        <item x="59"/>
        <item x="58"/>
        <item x="61"/>
        <item x="60"/>
        <item x="62"/>
        <item x="63"/>
        <item x="64"/>
        <item x="65"/>
        <item x="67"/>
        <item x="66"/>
        <item x="70"/>
        <item x="68"/>
        <item x="6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2"/>
        <item t="default"/>
      </items>
    </pivotField>
    <pivotField showAll="0"/>
    <pivotField showAll="0"/>
    <pivotField showAll="0"/>
    <pivotField axis="axisRow" showAll="0">
      <items count="17">
        <item x="0"/>
        <item x="1"/>
        <item x="2"/>
        <item x="3"/>
        <item x="4"/>
        <item x="5"/>
        <item x="6"/>
        <item x="7"/>
        <item x="8"/>
        <item x="9"/>
        <item x="10"/>
        <item x="11"/>
        <item x="12"/>
        <item x="13"/>
        <item x="14"/>
        <item x="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1"/>
  </rowFields>
  <rowItems count="15">
    <i>
      <x v="1"/>
    </i>
    <i>
      <x v="2"/>
    </i>
    <i>
      <x v="3"/>
    </i>
    <i>
      <x v="4"/>
    </i>
    <i>
      <x v="5"/>
    </i>
    <i>
      <x v="6"/>
    </i>
    <i>
      <x v="7"/>
    </i>
    <i>
      <x v="8"/>
    </i>
    <i>
      <x v="9"/>
    </i>
    <i>
      <x v="10"/>
    </i>
    <i>
      <x v="11"/>
    </i>
    <i>
      <x v="12"/>
    </i>
    <i>
      <x v="13"/>
    </i>
    <i>
      <x v="14"/>
    </i>
    <i t="grand">
      <x/>
    </i>
  </rowItems>
  <colFields count="1">
    <field x="-2"/>
  </colFields>
  <colItems count="3">
    <i>
      <x/>
    </i>
    <i i="1">
      <x v="1"/>
    </i>
    <i i="2">
      <x v="2"/>
    </i>
  </colItems>
  <dataFields count="3">
    <dataField name="Order Volume" fld="0" subtotal="count" baseField="31" baseItem="1"/>
    <dataField name="Return Rate" fld="27" subtotal="count" baseField="31" baseItem="1"/>
    <dataField name="Average Discount %" fld="14" subtotal="average" baseField="31" baseItem="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32B9C1-E980-4268-AB73-0134560A3D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1" firstHeaderRow="0" firstDataRow="1" firstDataCol="1"/>
  <pivotFields count="35">
    <pivotField dataField="1" showAll="0"/>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105">
        <item x="1"/>
        <item x="0"/>
        <item x="3"/>
        <item x="5"/>
        <item x="4"/>
        <item x="6"/>
        <item x="7"/>
        <item x="8"/>
        <item x="9"/>
        <item x="10"/>
        <item x="11"/>
        <item x="13"/>
        <item x="12"/>
        <item x="15"/>
        <item x="14"/>
        <item x="16"/>
        <item x="17"/>
        <item x="18"/>
        <item x="19"/>
        <item x="20"/>
        <item x="21"/>
        <item x="22"/>
        <item x="23"/>
        <item x="25"/>
        <item x="24"/>
        <item x="28"/>
        <item x="26"/>
        <item x="27"/>
        <item x="29"/>
        <item x="30"/>
        <item x="31"/>
        <item x="32"/>
        <item x="34"/>
        <item x="33"/>
        <item x="35"/>
        <item x="36"/>
        <item x="37"/>
        <item x="38"/>
        <item x="40"/>
        <item x="39"/>
        <item x="41"/>
        <item x="43"/>
        <item x="42"/>
        <item x="44"/>
        <item x="45"/>
        <item x="48"/>
        <item x="46"/>
        <item x="47"/>
        <item x="49"/>
        <item x="50"/>
        <item x="51"/>
        <item x="52"/>
        <item x="53"/>
        <item x="54"/>
        <item x="55"/>
        <item x="57"/>
        <item x="56"/>
        <item x="59"/>
        <item x="58"/>
        <item x="61"/>
        <item x="60"/>
        <item x="62"/>
        <item x="63"/>
        <item x="64"/>
        <item x="65"/>
        <item x="67"/>
        <item x="66"/>
        <item x="70"/>
        <item x="68"/>
        <item x="6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2"/>
        <item t="default"/>
      </items>
    </pivotField>
    <pivotField showAll="0"/>
    <pivotField showAll="0"/>
    <pivotField showAll="0"/>
    <pivotField showAll="0" defaultSubtotal="0">
      <items count="16">
        <item x="0"/>
        <item x="1"/>
        <item x="2"/>
        <item x="3"/>
        <item x="4"/>
        <item x="5"/>
        <item x="6"/>
        <item x="7"/>
        <item x="8"/>
        <item x="9"/>
        <item x="10"/>
        <item x="11"/>
        <item x="12"/>
        <item x="13"/>
        <item x="14"/>
        <item x="15"/>
      </items>
    </pivotField>
    <pivotField showAll="0" defaultSubtotal="0"/>
    <pivotField showAll="0" defaultSubtotal="0"/>
    <pivotField showAll="0" defaultSubtotal="0">
      <items count="4">
        <item x="0"/>
        <item x="1"/>
        <item x="2"/>
        <item x="3"/>
      </items>
    </pivotField>
  </pivotFields>
  <rowFields count="1">
    <field x="17"/>
  </rowFields>
  <rowItems count="4">
    <i>
      <x/>
    </i>
    <i>
      <x v="1"/>
    </i>
    <i>
      <x v="2"/>
    </i>
    <i t="grand">
      <x/>
    </i>
  </rowItems>
  <colFields count="1">
    <field x="-2"/>
  </colFields>
  <colItems count="3">
    <i>
      <x/>
    </i>
    <i i="1">
      <x v="1"/>
    </i>
    <i i="2">
      <x v="2"/>
    </i>
  </colItems>
  <dataFields count="3">
    <dataField name="Count of Order ID" fld="0" subtotal="count" baseField="0" baseItem="0"/>
    <dataField name="Average of Order_Total_After_Discount" fld="12" subtotal="average" baseField="17" baseItem="0"/>
    <dataField name="Count of Return Received"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F80B8-FA46-433C-A351-B34BA7A7BA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4" firstHeaderRow="0" firstDataRow="1" firstDataCol="1"/>
  <pivotFields count="35">
    <pivotField dataField="1" showAll="0">
      <items count="3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axis="axisRow" showAll="0">
      <items count="3">
        <item sd="0" x="0"/>
        <item sd="0"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105">
        <item x="1"/>
        <item x="0"/>
        <item x="3"/>
        <item x="5"/>
        <item x="4"/>
        <item x="6"/>
        <item x="7"/>
        <item x="8"/>
        <item x="9"/>
        <item x="10"/>
        <item x="11"/>
        <item x="13"/>
        <item x="12"/>
        <item x="15"/>
        <item x="14"/>
        <item x="16"/>
        <item x="17"/>
        <item x="18"/>
        <item x="19"/>
        <item x="20"/>
        <item x="21"/>
        <item x="22"/>
        <item x="23"/>
        <item x="25"/>
        <item x="24"/>
        <item x="28"/>
        <item x="26"/>
        <item x="27"/>
        <item x="29"/>
        <item x="30"/>
        <item x="31"/>
        <item x="32"/>
        <item x="34"/>
        <item x="33"/>
        <item x="35"/>
        <item x="36"/>
        <item x="37"/>
        <item x="38"/>
        <item x="40"/>
        <item x="39"/>
        <item x="41"/>
        <item x="43"/>
        <item x="42"/>
        <item x="44"/>
        <item x="45"/>
        <item x="48"/>
        <item x="46"/>
        <item x="47"/>
        <item x="49"/>
        <item x="50"/>
        <item x="51"/>
        <item x="52"/>
        <item x="53"/>
        <item x="54"/>
        <item x="55"/>
        <item x="57"/>
        <item x="56"/>
        <item x="59"/>
        <item x="58"/>
        <item x="61"/>
        <item x="60"/>
        <item x="62"/>
        <item x="63"/>
        <item x="64"/>
        <item x="65"/>
        <item x="67"/>
        <item x="66"/>
        <item x="70"/>
        <item x="68"/>
        <item x="6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2"/>
        <item t="default"/>
      </items>
    </pivotField>
    <pivotField showAll="0"/>
    <pivotField showAll="0"/>
    <pivotField showAll="0"/>
    <pivotField showAll="0" defaultSubtotal="0">
      <items count="16">
        <item x="0"/>
        <item x="1"/>
        <item x="2"/>
        <item x="3"/>
        <item x="4"/>
        <item x="5"/>
        <item x="6"/>
        <item x="7"/>
        <item x="8"/>
        <item x="9"/>
        <item x="10"/>
        <item x="11"/>
        <item x="12"/>
        <item x="13"/>
        <item x="14"/>
        <item x="15"/>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3">
    <i>
      <x/>
    </i>
    <i>
      <x v="1"/>
    </i>
    <i t="grand">
      <x/>
    </i>
  </rowItems>
  <colFields count="1">
    <field x="-2"/>
  </colFields>
  <colItems count="3">
    <i>
      <x/>
    </i>
    <i i="1">
      <x v="1"/>
    </i>
    <i i="2">
      <x v="2"/>
    </i>
  </colItems>
  <dataFields count="3">
    <dataField name="Order Volume" fld="0" subtotal="count" baseField="4" baseItem="0"/>
    <dataField name="Average Order Value" fld="12" subtotal="average" baseField="4" baseItem="0"/>
    <dataField name="Return Count" fld="27"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4D6A96-DD94-4964-A993-78E4047A5C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D29" firstHeaderRow="0" firstDataRow="1" firstDataCol="1"/>
  <pivotFields count="35">
    <pivotField dataField="1" showAll="0"/>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axis="axisRow" showAll="0">
      <items count="6">
        <item x="4"/>
        <item x="3"/>
        <item x="2"/>
        <item x="0"/>
        <item x="1"/>
        <item t="default"/>
      </items>
    </pivotField>
    <pivotField showAll="0"/>
    <pivotField showAll="0"/>
    <pivotField showAll="0"/>
    <pivotField showAll="0"/>
    <pivotField showAll="0"/>
    <pivotField dataField="1" showAll="0"/>
    <pivotField showAll="0"/>
    <pivotField showAll="0"/>
    <pivotField showAll="0"/>
    <pivotField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pivotField dataField="1" showAll="0">
      <items count="105">
        <item x="1"/>
        <item x="0"/>
        <item x="3"/>
        <item x="5"/>
        <item x="4"/>
        <item x="6"/>
        <item x="7"/>
        <item x="8"/>
        <item x="9"/>
        <item x="10"/>
        <item x="11"/>
        <item x="13"/>
        <item x="12"/>
        <item x="15"/>
        <item x="14"/>
        <item x="16"/>
        <item x="17"/>
        <item x="18"/>
        <item x="19"/>
        <item x="20"/>
        <item x="21"/>
        <item x="22"/>
        <item x="23"/>
        <item x="25"/>
        <item x="24"/>
        <item x="28"/>
        <item x="26"/>
        <item x="27"/>
        <item x="29"/>
        <item x="30"/>
        <item x="31"/>
        <item x="32"/>
        <item x="34"/>
        <item x="33"/>
        <item x="35"/>
        <item x="36"/>
        <item x="37"/>
        <item x="38"/>
        <item x="40"/>
        <item x="39"/>
        <item x="41"/>
        <item x="43"/>
        <item x="42"/>
        <item x="44"/>
        <item x="45"/>
        <item x="48"/>
        <item x="46"/>
        <item x="47"/>
        <item x="49"/>
        <item x="50"/>
        <item x="51"/>
        <item x="52"/>
        <item x="53"/>
        <item x="54"/>
        <item x="55"/>
        <item x="57"/>
        <item x="56"/>
        <item x="59"/>
        <item x="58"/>
        <item x="61"/>
        <item x="60"/>
        <item x="62"/>
        <item x="63"/>
        <item x="64"/>
        <item x="65"/>
        <item x="67"/>
        <item x="66"/>
        <item x="70"/>
        <item x="68"/>
        <item x="6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2"/>
        <item t="default"/>
      </items>
    </pivotField>
    <pivotField showAll="0"/>
    <pivotField showAll="0"/>
    <pivotField showAll="0"/>
    <pivotField showAll="0" defaultSubtotal="0">
      <items count="16">
        <item x="0"/>
        <item x="1"/>
        <item x="2"/>
        <item x="3"/>
        <item x="4"/>
        <item x="5"/>
        <item x="6"/>
        <item x="7"/>
        <item x="8"/>
        <item x="9"/>
        <item x="10"/>
        <item x="11"/>
        <item x="12"/>
        <item x="13"/>
        <item x="14"/>
        <item x="15"/>
      </items>
    </pivotField>
    <pivotField showAll="0" defaultSubtotal="0"/>
    <pivotField showAll="0" defaultSubtotal="0"/>
    <pivotField showAll="0" defaultSubtotal="0">
      <items count="4">
        <item x="0"/>
        <item x="1"/>
        <item x="2"/>
        <item x="3"/>
      </items>
    </pivotField>
  </pivotFields>
  <rowFields count="1">
    <field x="6"/>
  </rowFields>
  <rowItems count="6">
    <i>
      <x/>
    </i>
    <i>
      <x v="1"/>
    </i>
    <i>
      <x v="2"/>
    </i>
    <i>
      <x v="3"/>
    </i>
    <i>
      <x v="4"/>
    </i>
    <i t="grand">
      <x/>
    </i>
  </rowItems>
  <colFields count="1">
    <field x="-2"/>
  </colFields>
  <colItems count="3">
    <i>
      <x/>
    </i>
    <i i="1">
      <x v="1"/>
    </i>
    <i i="2">
      <x v="2"/>
    </i>
  </colItems>
  <dataFields count="3">
    <dataField name="Count of Order ID" fld="0" subtotal="count" baseField="0" baseItem="0"/>
    <dataField name="Average of Order_Total_After_Discount" fld="12" subtotal="average" baseField="16" baseItem="0"/>
    <dataField name="Count of Return Received"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31BC4A-B5B7-4760-9F8F-5C08419AF8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0" firstHeaderRow="0" firstDataRow="1" firstDataCol="1"/>
  <pivotFields count="35">
    <pivotField dataField="1" showAll="0"/>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pivotField dataField="1" showAll="0">
      <items count="105">
        <item x="1"/>
        <item x="0"/>
        <item x="3"/>
        <item x="5"/>
        <item x="4"/>
        <item x="6"/>
        <item x="7"/>
        <item x="8"/>
        <item x="9"/>
        <item x="10"/>
        <item x="11"/>
        <item x="13"/>
        <item x="12"/>
        <item x="15"/>
        <item x="14"/>
        <item x="16"/>
        <item x="17"/>
        <item x="18"/>
        <item x="19"/>
        <item x="20"/>
        <item x="21"/>
        <item x="22"/>
        <item x="23"/>
        <item x="25"/>
        <item x="24"/>
        <item x="28"/>
        <item x="26"/>
        <item x="27"/>
        <item x="29"/>
        <item x="30"/>
        <item x="31"/>
        <item x="32"/>
        <item x="34"/>
        <item x="33"/>
        <item x="35"/>
        <item x="36"/>
        <item x="37"/>
        <item x="38"/>
        <item x="40"/>
        <item x="39"/>
        <item x="41"/>
        <item x="43"/>
        <item x="42"/>
        <item x="44"/>
        <item x="45"/>
        <item x="48"/>
        <item x="46"/>
        <item x="47"/>
        <item x="49"/>
        <item x="50"/>
        <item x="51"/>
        <item x="52"/>
        <item x="53"/>
        <item x="54"/>
        <item x="55"/>
        <item x="57"/>
        <item x="56"/>
        <item x="59"/>
        <item x="58"/>
        <item x="61"/>
        <item x="60"/>
        <item x="62"/>
        <item x="63"/>
        <item x="64"/>
        <item x="65"/>
        <item x="67"/>
        <item x="66"/>
        <item x="70"/>
        <item x="68"/>
        <item x="6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2"/>
        <item t="default"/>
      </items>
    </pivotField>
    <pivotField showAll="0"/>
    <pivotField showAll="0"/>
    <pivotField showAll="0"/>
    <pivotField showAll="0" defaultSubtotal="0">
      <items count="16">
        <item x="0"/>
        <item x="1"/>
        <item x="2"/>
        <item x="3"/>
        <item x="4"/>
        <item x="5"/>
        <item x="6"/>
        <item x="7"/>
        <item x="8"/>
        <item x="9"/>
        <item x="10"/>
        <item x="11"/>
        <item x="12"/>
        <item x="13"/>
        <item x="14"/>
        <item x="15"/>
      </items>
    </pivotField>
    <pivotField showAll="0" defaultSubtotal="0"/>
    <pivotField showAll="0" defaultSubtotal="0"/>
    <pivotField showAll="0" defaultSubtotal="0">
      <items count="4">
        <item x="0"/>
        <item x="1"/>
        <item x="2"/>
        <item x="3"/>
      </items>
    </pivotField>
  </pivotFields>
  <rowFields count="1">
    <field x="16"/>
  </rowFields>
  <rowItems count="6">
    <i>
      <x/>
    </i>
    <i>
      <x v="1"/>
    </i>
    <i>
      <x v="2"/>
    </i>
    <i>
      <x v="3"/>
    </i>
    <i>
      <x v="4"/>
    </i>
    <i t="grand">
      <x/>
    </i>
  </rowItems>
  <colFields count="1">
    <field x="-2"/>
  </colFields>
  <colItems count="3">
    <i>
      <x/>
    </i>
    <i i="1">
      <x v="1"/>
    </i>
    <i i="2">
      <x v="2"/>
    </i>
  </colItems>
  <dataFields count="3">
    <dataField name="Count of Order ID" fld="0" subtotal="count" baseField="0" baseItem="0"/>
    <dataField name="Average of Order_Total_After_Discount" fld="12" subtotal="average" baseField="16" baseItem="0"/>
    <dataField name="Count of Return Received"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B9AC94-FB6F-41B1-B973-7019CE454EA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K10" firstHeaderRow="0" firstDataRow="1" firstDataCol="1"/>
  <pivotFields count="35">
    <pivotField dataField="1" showAll="0">
      <items count="3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pivotField axis="axisRow" showAll="0">
      <items count="3">
        <item sd="0" x="0"/>
        <item sd="0"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105">
        <item x="1"/>
        <item x="0"/>
        <item x="3"/>
        <item x="5"/>
        <item x="4"/>
        <item x="6"/>
        <item x="7"/>
        <item x="8"/>
        <item x="9"/>
        <item x="10"/>
        <item x="11"/>
        <item x="13"/>
        <item x="12"/>
        <item x="15"/>
        <item x="14"/>
        <item x="16"/>
        <item x="17"/>
        <item x="18"/>
        <item x="19"/>
        <item x="20"/>
        <item x="21"/>
        <item x="22"/>
        <item x="23"/>
        <item x="25"/>
        <item x="24"/>
        <item x="28"/>
        <item x="26"/>
        <item x="27"/>
        <item x="29"/>
        <item x="30"/>
        <item x="31"/>
        <item x="32"/>
        <item x="34"/>
        <item x="33"/>
        <item x="35"/>
        <item x="36"/>
        <item x="37"/>
        <item x="38"/>
        <item x="40"/>
        <item x="39"/>
        <item x="41"/>
        <item x="43"/>
        <item x="42"/>
        <item x="44"/>
        <item x="45"/>
        <item x="48"/>
        <item x="46"/>
        <item x="47"/>
        <item x="49"/>
        <item x="50"/>
        <item x="51"/>
        <item x="52"/>
        <item x="53"/>
        <item x="54"/>
        <item x="55"/>
        <item x="57"/>
        <item x="56"/>
        <item x="59"/>
        <item x="58"/>
        <item x="61"/>
        <item x="60"/>
        <item x="62"/>
        <item x="63"/>
        <item x="64"/>
        <item x="65"/>
        <item x="67"/>
        <item x="66"/>
        <item x="70"/>
        <item x="68"/>
        <item x="6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2"/>
        <item x="101"/>
        <item x="103"/>
        <item x="2"/>
        <item t="default"/>
      </items>
    </pivotField>
    <pivotField showAll="0"/>
    <pivotField showAll="0"/>
    <pivotField showAll="0"/>
    <pivotField showAll="0" defaultSubtotal="0">
      <items count="16">
        <item x="0"/>
        <item x="1"/>
        <item x="2"/>
        <item x="3"/>
        <item x="4"/>
        <item x="5"/>
        <item x="6"/>
        <item x="7"/>
        <item x="8"/>
        <item x="9"/>
        <item x="10"/>
        <item x="11"/>
        <item x="12"/>
        <item x="13"/>
        <item x="14"/>
        <item x="15"/>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3">
    <i>
      <x/>
    </i>
    <i>
      <x v="1"/>
    </i>
    <i t="grand">
      <x/>
    </i>
  </rowItems>
  <colFields count="1">
    <field x="-2"/>
  </colFields>
  <colItems count="3">
    <i>
      <x/>
    </i>
    <i i="1">
      <x v="1"/>
    </i>
    <i i="2">
      <x v="2"/>
    </i>
  </colItems>
  <dataFields count="3">
    <dataField name="Order Volume" fld="0" subtotal="count" baseField="4" baseItem="0"/>
    <dataField name="Average Order Value" fld="12" subtotal="average" baseField="4" baseItem="0"/>
    <dataField name="Return Count" fld="27" subtotal="count" baseField="4" baseItem="0"/>
  </dataFields>
  <formats count="5">
    <format dxfId="4">
      <pivotArea outline="0" collapsedLevelsAreSubtotals="1" fieldPosition="0">
        <references count="1">
          <reference field="4294967294" count="1" selected="0">
            <x v="0"/>
          </reference>
        </references>
      </pivotArea>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31DD6E-A0C7-4C03-8227-07C719A1ACEF}" autoFormatId="16" applyNumberFormats="0" applyBorderFormats="0" applyFontFormats="0" applyPatternFormats="0" applyAlignmentFormats="0" applyWidthHeightFormats="0">
  <queryTableRefresh nextId="46">
    <queryTableFields count="31">
      <queryTableField id="1" name="Order ID" tableColumnId="1"/>
      <queryTableField id="2" name="Order Date" tableColumnId="2"/>
      <queryTableField id="24" name="Order_Date_Validation_Q4" tableColumnId="5"/>
      <queryTableField id="3" name="Customer ID" tableColumnId="3"/>
      <queryTableField id="4" name="Type" tableColumnId="4"/>
      <queryTableField id="25" name="Product_SKU" tableColumnId="18"/>
      <queryTableField id="6" name="Category" tableColumnId="6"/>
      <queryTableField id="7" name="Product Name" tableColumnId="7"/>
      <queryTableField id="8" name="Unit Price" tableColumnId="8"/>
      <queryTableField id="9" name="Qty" tableColumnId="9"/>
      <queryTableField id="26" name="Order_Quantity_Validation" tableColumnId="22"/>
      <queryTableField id="10" name="Total" tableColumnId="10"/>
      <queryTableField id="27" name="Order_Total_After_Discount" tableColumnId="24"/>
      <queryTableField id="11" name="Discount Code" tableColumnId="11"/>
      <queryTableField id="12" name="Disc %" tableColumnId="12"/>
      <queryTableField id="28" name="Discount_Amount" tableColumnId="25"/>
      <queryTableField id="13" name="Payment" tableColumnId="13"/>
      <queryTableField id="14" name="Source" tableColumnId="14"/>
      <queryTableField id="15" name="City" tableColumnId="15"/>
      <queryTableField id="16" name="State" tableColumnId="16"/>
      <queryTableField id="17" name="Warehouse" tableColumnId="17"/>
      <queryTableField id="29" name="Delivery Date" tableColumnId="26"/>
      <queryTableField id="30" name="Delivery_Date_Validation" tableColumnId="27"/>
      <queryTableField id="33" name="Delivery_Time_Validation" tableColumnId="30"/>
      <queryTableField id="19" name="Status" tableColumnId="19"/>
      <queryTableField id="20" name="Return?" tableColumnId="20"/>
      <queryTableField id="21" name="Reason" tableColumnId="21"/>
      <queryTableField id="31" name="Return Received" tableColumnId="28"/>
      <queryTableField id="32" name="Return_Date_Validation" tableColumnId="29"/>
      <queryTableField id="34" name="Return_Window_Validation" tableColumnId="31"/>
      <queryTableField id="23" name="Refund"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DB5FF84-188D-4F67-B0A5-7A3A3AAA5630}" autoFormatId="16" applyNumberFormats="0" applyBorderFormats="0" applyFontFormats="0" applyPatternFormats="0" applyAlignmentFormats="0" applyWidthHeightFormats="0">
  <queryTableRefresh nextId="46">
    <queryTableFields count="31">
      <queryTableField id="1" name="Order ID" tableColumnId="1"/>
      <queryTableField id="2" name="Order Date" tableColumnId="2"/>
      <queryTableField id="24" name="Order_Date_Validation_Q4" tableColumnId="5"/>
      <queryTableField id="3" name="Customer ID" tableColumnId="3"/>
      <queryTableField id="4" name="Type" tableColumnId="4"/>
      <queryTableField id="25" name="Product_SKU" tableColumnId="18"/>
      <queryTableField id="6" name="Category" tableColumnId="6"/>
      <queryTableField id="7" name="Product Name" tableColumnId="7"/>
      <queryTableField id="8" name="Unit Price" tableColumnId="8"/>
      <queryTableField id="9" name="Qty" tableColumnId="9"/>
      <queryTableField id="26" name="Order_Quantity_Validation" tableColumnId="22"/>
      <queryTableField id="10" name="Total" tableColumnId="10"/>
      <queryTableField id="27" name="Order_Total_After_Discount" tableColumnId="24"/>
      <queryTableField id="11" name="Discount Code" tableColumnId="11"/>
      <queryTableField id="12" name="Disc %" tableColumnId="12"/>
      <queryTableField id="28" name="Discount_Amount" tableColumnId="25"/>
      <queryTableField id="13" name="Payment" tableColumnId="13"/>
      <queryTableField id="14" name="Source" tableColumnId="14"/>
      <queryTableField id="15" name="City" tableColumnId="15"/>
      <queryTableField id="16" name="State" tableColumnId="16"/>
      <queryTableField id="17" name="Warehouse" tableColumnId="17"/>
      <queryTableField id="29" name="Delivery Date" tableColumnId="26"/>
      <queryTableField id="30" name="Delivery_Date_Validation" tableColumnId="27"/>
      <queryTableField id="33" name="Delivery_Time_Validation" tableColumnId="30"/>
      <queryTableField id="19" name="Status" tableColumnId="19"/>
      <queryTableField id="20" name="Return?" tableColumnId="20"/>
      <queryTableField id="21" name="Reason" tableColumnId="21"/>
      <queryTableField id="31" name="Return Received" tableColumnId="28"/>
      <queryTableField id="32" name="Return_Date_Validation" tableColumnId="29"/>
      <queryTableField id="34" name="Return_Window_Validation" tableColumnId="31"/>
      <queryTableField id="23" name="Refund"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0C554A-D1A7-43BF-A9C7-45E786EEF097}" name="Table1_1" displayName="Table1_1" ref="A1:AE347" tableType="queryTable" totalsRowShown="0">
  <autoFilter ref="A1:AE347" xr:uid="{F60C554A-D1A7-43BF-A9C7-45E786EEF097}"/>
  <tableColumns count="31">
    <tableColumn id="1" xr3:uid="{5A6613E9-8AB9-4225-B81E-8171CBC9D357}" uniqueName="1" name="Order ID" queryTableFieldId="1" dataDxfId="50"/>
    <tableColumn id="2" xr3:uid="{FB1CBC5D-871F-429F-97EB-1A71461CC043}" uniqueName="2" name="Order Date" queryTableFieldId="2" dataDxfId="49"/>
    <tableColumn id="5" xr3:uid="{B221139B-5257-4037-94D2-9D87FBEA61AB}" uniqueName="5" name="Order_Date_Validation_Q4" queryTableFieldId="24"/>
    <tableColumn id="3" xr3:uid="{61567B07-88CB-4BB7-8072-13C1646BCB46}" uniqueName="3" name="Customer ID" queryTableFieldId="3" dataDxfId="48"/>
    <tableColumn id="4" xr3:uid="{BB304FEB-26FE-462B-9502-14BBAAE3EC97}" uniqueName="4" name="Type" queryTableFieldId="4" dataDxfId="47"/>
    <tableColumn id="18" xr3:uid="{203B60B3-72D8-49F6-B8CE-B16B407A28CC}" uniqueName="18" name="Product_SKU" queryTableFieldId="25" dataDxfId="46"/>
    <tableColumn id="6" xr3:uid="{6198289C-602F-4FF7-9038-2A8CC1529E1C}" uniqueName="6" name="Category" queryTableFieldId="6" dataDxfId="45"/>
    <tableColumn id="7" xr3:uid="{05238CED-468B-4E76-8DC1-7BCAC0E849EC}" uniqueName="7" name="Product Name" queryTableFieldId="7" dataDxfId="44"/>
    <tableColumn id="8" xr3:uid="{B05E132A-AC9C-4474-91CC-DF2EA6D1BE72}" uniqueName="8" name="Unit Price" queryTableFieldId="8"/>
    <tableColumn id="9" xr3:uid="{D74AD948-E994-47DC-9B4F-BE1E5E2C5C80}" uniqueName="9" name="Qty" queryTableFieldId="9"/>
    <tableColumn id="22" xr3:uid="{4BEC791A-BE72-4AF3-869E-EDF01CA9A5FB}" uniqueName="22" name="Order_Quantity_Validation" queryTableFieldId="26"/>
    <tableColumn id="10" xr3:uid="{D7AB0A0C-C433-48D6-ABA0-26C04B929C9D}" uniqueName="10" name="Total" queryTableFieldId="10"/>
    <tableColumn id="24" xr3:uid="{E170F8F1-C962-45BF-9C5E-FA21C77A7BA6}" uniqueName="24" name="Order_Total_After_Discount" queryTableFieldId="27"/>
    <tableColumn id="11" xr3:uid="{94FF2599-9857-476E-BF82-830FB94F2561}" uniqueName="11" name="Discount Code" queryTableFieldId="11" dataDxfId="43"/>
    <tableColumn id="12" xr3:uid="{FA2926EF-DD8D-435F-9782-18C97FB7FC34}" uniqueName="12" name="Disc %" queryTableFieldId="12"/>
    <tableColumn id="25" xr3:uid="{6581FAB2-802D-4C95-ABF6-69700EF501EA}" uniqueName="25" name="Discount_Amount" queryTableFieldId="28"/>
    <tableColumn id="13" xr3:uid="{21C963D4-60EA-4EFB-872A-B3BF3A17FC5A}" uniqueName="13" name="Payment" queryTableFieldId="13" dataDxfId="42"/>
    <tableColumn id="14" xr3:uid="{E9AE9B47-1C20-4888-835B-CA16833D86BD}" uniqueName="14" name="Source" queryTableFieldId="14" dataDxfId="41"/>
    <tableColumn id="15" xr3:uid="{A0D58BA1-4DDB-40BE-B9BB-FA220BCEADA7}" uniqueName="15" name="City" queryTableFieldId="15" dataDxfId="40"/>
    <tableColumn id="16" xr3:uid="{440ADE6A-A9D5-4371-96D4-A4D5DC5E9253}" uniqueName="16" name="State" queryTableFieldId="16" dataDxfId="39"/>
    <tableColumn id="17" xr3:uid="{9E358CD2-5496-4187-96E4-CC58F2E93154}" uniqueName="17" name="Warehouse" queryTableFieldId="17" dataDxfId="38"/>
    <tableColumn id="26" xr3:uid="{07EA6132-D01E-4EC8-B036-9E3CF3309D36}" uniqueName="26" name="Delivery Date" queryTableFieldId="29" dataDxfId="37"/>
    <tableColumn id="27" xr3:uid="{4E634D75-7DE2-41B7-B151-5256160B9238}" uniqueName="27" name="Delivery_Date_Validation" queryTableFieldId="30" dataDxfId="36"/>
    <tableColumn id="30" xr3:uid="{4D6127B0-770B-4AFA-8E20-143D36AB4379}" uniqueName="30" name="Delivery_Time_Validation" queryTableFieldId="33" dataDxfId="35"/>
    <tableColumn id="19" xr3:uid="{C2A86A2A-FEAC-4F26-BCBA-182594EC6109}" uniqueName="19" name="Status" queryTableFieldId="19" dataDxfId="34"/>
    <tableColumn id="20" xr3:uid="{57481D91-AF51-42E1-A316-F6CAA35537BE}" uniqueName="20" name="Return?" queryTableFieldId="20" dataDxfId="33"/>
    <tableColumn id="21" xr3:uid="{4E99B161-9133-408E-9DD4-CCFB1689FA5E}" uniqueName="21" name="Reason" queryTableFieldId="21" dataDxfId="32"/>
    <tableColumn id="28" xr3:uid="{60F26F66-13E5-4F44-AAE4-DC7203562A7E}" uniqueName="28" name="Return Received" queryTableFieldId="31" dataDxfId="31"/>
    <tableColumn id="29" xr3:uid="{2CC5E825-F414-4CCA-B889-CF250925554F}" uniqueName="29" name="Return_Date_Validation" queryTableFieldId="32" dataDxfId="30"/>
    <tableColumn id="31" xr3:uid="{5B37542B-18DE-4976-8A2D-BC36F63CC1DA}" uniqueName="31" name="Return_Window_Validation" queryTableFieldId="34" dataDxfId="29"/>
    <tableColumn id="23" xr3:uid="{FA90FB29-C283-449D-8C98-4648512ACA52}" uniqueName="23" name="Refund" queryTableFieldId="23" dataDxfId="2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59142-DA46-4EFF-90CE-B3AF922E15BA}" name="Table1_12" displayName="Table1_12" ref="A1:AE340" tableType="queryTable" totalsRowShown="0">
  <autoFilter ref="A1:AE340" xr:uid="{F60C554A-D1A7-43BF-A9C7-45E786EEF097}"/>
  <tableColumns count="31">
    <tableColumn id="1" xr3:uid="{EAE0C133-453C-47BF-ABC3-B296BD5D292F}" uniqueName="1" name="Order ID" queryTableFieldId="1" dataDxfId="27"/>
    <tableColumn id="2" xr3:uid="{22489315-DDED-44F7-8A8A-F4813CB20D6B}" uniqueName="2" name="Order Date" queryTableFieldId="2" dataDxfId="26"/>
    <tableColumn id="5" xr3:uid="{2626235D-FF54-4C41-9C9F-12A70249F959}" uniqueName="5" name="Order_Date_Validation_Q4" queryTableFieldId="24"/>
    <tableColumn id="3" xr3:uid="{5F4E46B7-F107-4A9D-A0A7-F09A23942168}" uniqueName="3" name="Customer ID" queryTableFieldId="3" dataDxfId="25"/>
    <tableColumn id="4" xr3:uid="{D0AD99C4-8A36-4797-8188-24EAFE05D596}" uniqueName="4" name="Type" queryTableFieldId="4" dataDxfId="24"/>
    <tableColumn id="18" xr3:uid="{F115FCF3-9961-4637-A0B7-14DBD58E4C36}" uniqueName="18" name="Product_SKU" queryTableFieldId="25" dataDxfId="23"/>
    <tableColumn id="6" xr3:uid="{2B1B92F3-EDAE-4B63-9EBD-A9980F9909ED}" uniqueName="6" name="Category" queryTableFieldId="6" dataDxfId="22"/>
    <tableColumn id="7" xr3:uid="{C42FE801-32F1-43F2-A3FC-D83F81067060}" uniqueName="7" name="Product Name" queryTableFieldId="7" dataDxfId="21"/>
    <tableColumn id="8" xr3:uid="{4626BA06-D2F2-4A6B-9BEB-B88E0D21909A}" uniqueName="8" name="Unit Price" queryTableFieldId="8"/>
    <tableColumn id="9" xr3:uid="{B474F148-87E8-403F-B59A-98A424EF08D8}" uniqueName="9" name="Qty" queryTableFieldId="9"/>
    <tableColumn id="22" xr3:uid="{87FB24FE-9694-406F-B157-26135E39F3C1}" uniqueName="22" name="Order_Quantity_Validation" queryTableFieldId="26"/>
    <tableColumn id="10" xr3:uid="{D7EB7D86-9E94-45B8-8BD9-CA766C5A6B90}" uniqueName="10" name="Total" queryTableFieldId="10"/>
    <tableColumn id="24" xr3:uid="{88839B8C-0D49-47D8-BEF9-CBC35B45B130}" uniqueName="24" name="Order_Total_After_Discount" queryTableFieldId="27"/>
    <tableColumn id="11" xr3:uid="{95C33171-ED6C-4851-911F-72D4CCC057C1}" uniqueName="11" name="Discount Code" queryTableFieldId="11" dataDxfId="20"/>
    <tableColumn id="12" xr3:uid="{034FFF57-AC25-495B-AF1F-AF2AB451A070}" uniqueName="12" name="Disc %" queryTableFieldId="12"/>
    <tableColumn id="25" xr3:uid="{FF0E5BA3-7C26-4FB9-8235-E3D2E128D337}" uniqueName="25" name="Discount_Amount" queryTableFieldId="28"/>
    <tableColumn id="13" xr3:uid="{9848D619-4376-4689-84E8-5591F1683B7C}" uniqueName="13" name="Payment" queryTableFieldId="13" dataDxfId="19"/>
    <tableColumn id="14" xr3:uid="{262178C1-B61F-4479-874B-30B567D9267A}" uniqueName="14" name="Source" queryTableFieldId="14" dataDxfId="18"/>
    <tableColumn id="15" xr3:uid="{1EA6E3D0-D419-489A-B217-3357C68BE440}" uniqueName="15" name="City" queryTableFieldId="15" dataDxfId="17"/>
    <tableColumn id="16" xr3:uid="{3287E5B6-D3A8-4A20-914B-B57326387320}" uniqueName="16" name="State" queryTableFieldId="16" dataDxfId="16"/>
    <tableColumn id="17" xr3:uid="{9F464D8A-C942-44CE-BA4C-E5AD384F6C43}" uniqueName="17" name="Warehouse" queryTableFieldId="17" dataDxfId="15"/>
    <tableColumn id="26" xr3:uid="{B90511F1-4839-4855-A1B1-524B09B9CAFB}" uniqueName="26" name="Delivery Date" queryTableFieldId="29" dataDxfId="14"/>
    <tableColumn id="27" xr3:uid="{EAFADF13-20CA-4EF0-9DA9-98E870A786F4}" uniqueName="27" name="Delivery_Date_Validation" queryTableFieldId="30" dataDxfId="13"/>
    <tableColumn id="30" xr3:uid="{20CD4DE8-4523-4FD9-8CB1-6F468E3DE620}" uniqueName="30" name="Delivery_Time_Validation" queryTableFieldId="33" dataDxfId="12"/>
    <tableColumn id="19" xr3:uid="{83083CD3-BB9E-4C75-A051-4BB85E8FA5DB}" uniqueName="19" name="Status" queryTableFieldId="19" dataDxfId="11"/>
    <tableColumn id="20" xr3:uid="{96453F30-82BC-422C-AA8B-97886386679F}" uniqueName="20" name="Return?" queryTableFieldId="20" dataDxfId="10"/>
    <tableColumn id="21" xr3:uid="{B15BB2D9-16F9-48B6-8A4B-C09EE71FF8D7}" uniqueName="21" name="Reason" queryTableFieldId="21" dataDxfId="9"/>
    <tableColumn id="28" xr3:uid="{95A9532B-B27D-4AAC-8920-0C3C26962881}" uniqueName="28" name="Return Received" queryTableFieldId="31" dataDxfId="8"/>
    <tableColumn id="29" xr3:uid="{EA27E57E-B4E9-49D3-8497-D983F7BE30AA}" uniqueName="29" name="Return_Date_Validation" queryTableFieldId="32" dataDxfId="7"/>
    <tableColumn id="31" xr3:uid="{88F80C4C-62D3-4E7F-9EBE-DEA8D4B31D57}" uniqueName="31" name="Return_Window_Validation" queryTableFieldId="34" dataDxfId="6"/>
    <tableColumn id="23" xr3:uid="{B35971FD-E072-43BF-A97B-F969C3C4CAA9}" uniqueName="23" name="Refund" queryTableFieldId="23" dataDxfId="5"/>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7"/>
  <sheetViews>
    <sheetView workbookViewId="0">
      <selection activeCell="D17" sqref="D17"/>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24</v>
      </c>
      <c r="C2" t="s">
        <v>25</v>
      </c>
      <c r="D2" t="s">
        <v>26</v>
      </c>
      <c r="E2" t="s">
        <v>27</v>
      </c>
      <c r="F2" t="s">
        <v>28</v>
      </c>
      <c r="G2" t="s">
        <v>29</v>
      </c>
      <c r="H2">
        <v>1299</v>
      </c>
      <c r="I2">
        <v>2</v>
      </c>
      <c r="J2">
        <v>2598</v>
      </c>
      <c r="L2">
        <v>0</v>
      </c>
      <c r="M2" t="s">
        <v>30</v>
      </c>
      <c r="N2" t="s">
        <v>31</v>
      </c>
      <c r="O2" t="s">
        <v>32</v>
      </c>
      <c r="P2" t="s">
        <v>33</v>
      </c>
      <c r="Q2" t="s">
        <v>32</v>
      </c>
      <c r="R2" t="s">
        <v>34</v>
      </c>
      <c r="S2" t="s">
        <v>35</v>
      </c>
      <c r="T2" t="s">
        <v>36</v>
      </c>
      <c r="W2" t="s">
        <v>37</v>
      </c>
    </row>
    <row r="3" spans="1:23" x14ac:dyDescent="0.3">
      <c r="A3" t="s">
        <v>38</v>
      </c>
      <c r="B3" t="s">
        <v>24</v>
      </c>
      <c r="C3" t="s">
        <v>39</v>
      </c>
      <c r="D3" t="s">
        <v>40</v>
      </c>
      <c r="E3" t="s">
        <v>41</v>
      </c>
      <c r="F3" t="s">
        <v>42</v>
      </c>
      <c r="G3" t="s">
        <v>43</v>
      </c>
      <c r="H3">
        <v>2499</v>
      </c>
      <c r="I3">
        <v>1</v>
      </c>
      <c r="J3">
        <v>2499</v>
      </c>
      <c r="K3" t="s">
        <v>44</v>
      </c>
      <c r="L3">
        <v>20</v>
      </c>
      <c r="M3" t="s">
        <v>45</v>
      </c>
      <c r="N3" t="s">
        <v>46</v>
      </c>
      <c r="O3" t="s">
        <v>47</v>
      </c>
      <c r="P3" t="s">
        <v>47</v>
      </c>
      <c r="Q3" t="s">
        <v>47</v>
      </c>
      <c r="R3" t="s">
        <v>48</v>
      </c>
      <c r="S3" t="s">
        <v>35</v>
      </c>
      <c r="T3" t="s">
        <v>49</v>
      </c>
      <c r="U3" t="s">
        <v>50</v>
      </c>
      <c r="V3" t="s">
        <v>51</v>
      </c>
      <c r="W3" t="s">
        <v>52</v>
      </c>
    </row>
    <row r="4" spans="1:23" x14ac:dyDescent="0.3">
      <c r="A4" t="s">
        <v>53</v>
      </c>
      <c r="B4" t="s">
        <v>54</v>
      </c>
      <c r="C4" t="s">
        <v>55</v>
      </c>
      <c r="D4" t="s">
        <v>56</v>
      </c>
      <c r="E4" t="s">
        <v>57</v>
      </c>
      <c r="F4" t="s">
        <v>58</v>
      </c>
      <c r="G4" t="s">
        <v>59</v>
      </c>
      <c r="H4">
        <v>1899</v>
      </c>
      <c r="I4">
        <v>1</v>
      </c>
      <c r="J4">
        <v>1899</v>
      </c>
      <c r="L4">
        <v>0</v>
      </c>
      <c r="M4" t="s">
        <v>60</v>
      </c>
      <c r="N4" t="s">
        <v>31</v>
      </c>
      <c r="O4" t="s">
        <v>61</v>
      </c>
      <c r="P4" t="s">
        <v>62</v>
      </c>
      <c r="Q4" t="s">
        <v>61</v>
      </c>
      <c r="R4" t="s">
        <v>63</v>
      </c>
      <c r="S4" t="s">
        <v>35</v>
      </c>
      <c r="T4" t="s">
        <v>36</v>
      </c>
      <c r="W4" t="s">
        <v>37</v>
      </c>
    </row>
    <row r="5" spans="1:23" x14ac:dyDescent="0.3">
      <c r="A5" t="s">
        <v>64</v>
      </c>
      <c r="B5" t="s">
        <v>24</v>
      </c>
      <c r="C5" t="s">
        <v>65</v>
      </c>
      <c r="D5" t="s">
        <v>26</v>
      </c>
      <c r="E5" t="s">
        <v>66</v>
      </c>
      <c r="F5" t="s">
        <v>67</v>
      </c>
      <c r="G5" t="s">
        <v>68</v>
      </c>
      <c r="H5">
        <v>3499</v>
      </c>
      <c r="I5">
        <v>1</v>
      </c>
      <c r="J5">
        <v>3499</v>
      </c>
      <c r="K5" t="s">
        <v>69</v>
      </c>
      <c r="L5">
        <v>15</v>
      </c>
      <c r="M5" t="s">
        <v>70</v>
      </c>
      <c r="N5" t="s">
        <v>71</v>
      </c>
      <c r="O5" t="s">
        <v>72</v>
      </c>
      <c r="P5" t="s">
        <v>73</v>
      </c>
      <c r="Q5" t="s">
        <v>32</v>
      </c>
      <c r="R5" t="s">
        <v>74</v>
      </c>
      <c r="S5" t="s">
        <v>35</v>
      </c>
      <c r="T5" t="s">
        <v>49</v>
      </c>
      <c r="U5" t="s">
        <v>75</v>
      </c>
      <c r="V5" t="s">
        <v>76</v>
      </c>
      <c r="W5" t="s">
        <v>52</v>
      </c>
    </row>
    <row r="6" spans="1:23" x14ac:dyDescent="0.3">
      <c r="A6" t="s">
        <v>77</v>
      </c>
      <c r="B6" t="s">
        <v>24</v>
      </c>
      <c r="C6" t="s">
        <v>25</v>
      </c>
      <c r="D6" t="s">
        <v>26</v>
      </c>
      <c r="E6" t="s">
        <v>78</v>
      </c>
      <c r="F6" t="s">
        <v>79</v>
      </c>
      <c r="G6" t="s">
        <v>80</v>
      </c>
      <c r="H6">
        <v>799</v>
      </c>
      <c r="I6">
        <v>3</v>
      </c>
      <c r="J6">
        <v>2397</v>
      </c>
      <c r="L6">
        <v>0</v>
      </c>
      <c r="M6" t="s">
        <v>30</v>
      </c>
      <c r="N6" t="s">
        <v>31</v>
      </c>
      <c r="O6" t="s">
        <v>32</v>
      </c>
      <c r="P6" t="s">
        <v>33</v>
      </c>
      <c r="Q6" t="s">
        <v>32</v>
      </c>
      <c r="R6" t="s">
        <v>63</v>
      </c>
      <c r="S6" t="s">
        <v>35</v>
      </c>
      <c r="T6" t="s">
        <v>36</v>
      </c>
      <c r="W6" t="s">
        <v>37</v>
      </c>
    </row>
    <row r="7" spans="1:23" x14ac:dyDescent="0.3">
      <c r="A7" t="s">
        <v>81</v>
      </c>
      <c r="B7" t="s">
        <v>82</v>
      </c>
      <c r="C7" t="s">
        <v>83</v>
      </c>
      <c r="D7" t="s">
        <v>40</v>
      </c>
      <c r="E7" t="s">
        <v>84</v>
      </c>
      <c r="F7" t="s">
        <v>28</v>
      </c>
      <c r="G7" t="s">
        <v>85</v>
      </c>
      <c r="H7">
        <v>1599</v>
      </c>
      <c r="I7">
        <v>2</v>
      </c>
      <c r="J7">
        <v>3198</v>
      </c>
      <c r="L7">
        <v>0</v>
      </c>
      <c r="M7" t="s">
        <v>45</v>
      </c>
      <c r="N7" t="s">
        <v>46</v>
      </c>
      <c r="O7" t="s">
        <v>86</v>
      </c>
      <c r="P7" t="s">
        <v>87</v>
      </c>
      <c r="Q7" t="s">
        <v>61</v>
      </c>
      <c r="R7" t="s">
        <v>88</v>
      </c>
      <c r="S7" t="s">
        <v>35</v>
      </c>
      <c r="T7" t="s">
        <v>49</v>
      </c>
      <c r="U7" t="s">
        <v>89</v>
      </c>
      <c r="V7" t="s">
        <v>90</v>
      </c>
      <c r="W7" t="s">
        <v>52</v>
      </c>
    </row>
    <row r="8" spans="1:23" x14ac:dyDescent="0.3">
      <c r="A8" t="s">
        <v>91</v>
      </c>
      <c r="B8" t="s">
        <v>82</v>
      </c>
      <c r="C8" t="s">
        <v>92</v>
      </c>
      <c r="D8" t="s">
        <v>26</v>
      </c>
      <c r="E8" t="s">
        <v>93</v>
      </c>
      <c r="F8" t="s">
        <v>42</v>
      </c>
      <c r="G8" t="s">
        <v>94</v>
      </c>
      <c r="H8">
        <v>2199</v>
      </c>
      <c r="I8">
        <v>1</v>
      </c>
      <c r="J8">
        <v>2199</v>
      </c>
      <c r="K8" t="s">
        <v>44</v>
      </c>
      <c r="L8">
        <v>20</v>
      </c>
      <c r="M8" t="s">
        <v>60</v>
      </c>
      <c r="N8" t="s">
        <v>31</v>
      </c>
      <c r="O8" t="s">
        <v>95</v>
      </c>
      <c r="P8" t="s">
        <v>33</v>
      </c>
      <c r="Q8" t="s">
        <v>32</v>
      </c>
      <c r="S8" t="s">
        <v>96</v>
      </c>
      <c r="T8" t="s">
        <v>36</v>
      </c>
      <c r="W8" t="s">
        <v>37</v>
      </c>
    </row>
    <row r="9" spans="1:23" x14ac:dyDescent="0.3">
      <c r="A9" t="s">
        <v>97</v>
      </c>
      <c r="B9" t="s">
        <v>82</v>
      </c>
      <c r="C9" t="s">
        <v>98</v>
      </c>
      <c r="D9" t="s">
        <v>26</v>
      </c>
      <c r="E9" t="s">
        <v>99</v>
      </c>
      <c r="F9" t="s">
        <v>58</v>
      </c>
      <c r="G9" t="s">
        <v>100</v>
      </c>
      <c r="H9">
        <v>2299</v>
      </c>
      <c r="I9">
        <v>1</v>
      </c>
      <c r="J9">
        <v>2299</v>
      </c>
      <c r="L9">
        <v>0</v>
      </c>
      <c r="M9" t="s">
        <v>30</v>
      </c>
      <c r="N9" t="s">
        <v>46</v>
      </c>
      <c r="O9" t="s">
        <v>101</v>
      </c>
      <c r="P9" t="s">
        <v>102</v>
      </c>
      <c r="Q9" t="s">
        <v>47</v>
      </c>
      <c r="R9" t="s">
        <v>103</v>
      </c>
      <c r="S9" t="s">
        <v>35</v>
      </c>
      <c r="T9" t="s">
        <v>36</v>
      </c>
      <c r="W9" t="s">
        <v>37</v>
      </c>
    </row>
    <row r="10" spans="1:23" x14ac:dyDescent="0.3">
      <c r="A10" t="s">
        <v>104</v>
      </c>
      <c r="B10" t="s">
        <v>82</v>
      </c>
      <c r="C10" t="s">
        <v>105</v>
      </c>
      <c r="D10" t="s">
        <v>40</v>
      </c>
      <c r="E10" t="s">
        <v>106</v>
      </c>
      <c r="F10" t="s">
        <v>28</v>
      </c>
      <c r="G10" t="s">
        <v>107</v>
      </c>
      <c r="H10">
        <v>1399</v>
      </c>
      <c r="I10">
        <v>5</v>
      </c>
      <c r="J10">
        <v>6995</v>
      </c>
      <c r="L10">
        <v>0</v>
      </c>
      <c r="M10" t="s">
        <v>45</v>
      </c>
      <c r="N10" t="s">
        <v>31</v>
      </c>
      <c r="O10" t="s">
        <v>108</v>
      </c>
      <c r="P10" t="s">
        <v>109</v>
      </c>
      <c r="Q10" t="s">
        <v>32</v>
      </c>
      <c r="R10" t="s">
        <v>110</v>
      </c>
      <c r="S10" t="s">
        <v>35</v>
      </c>
      <c r="T10" t="s">
        <v>49</v>
      </c>
      <c r="U10" t="s">
        <v>50</v>
      </c>
      <c r="V10" t="s">
        <v>111</v>
      </c>
      <c r="W10" t="s">
        <v>52</v>
      </c>
    </row>
    <row r="11" spans="1:23" x14ac:dyDescent="0.3">
      <c r="A11" t="s">
        <v>112</v>
      </c>
      <c r="B11" t="s">
        <v>82</v>
      </c>
      <c r="C11" t="s">
        <v>113</v>
      </c>
      <c r="D11" t="s">
        <v>26</v>
      </c>
      <c r="E11" t="s">
        <v>114</v>
      </c>
      <c r="F11" t="s">
        <v>67</v>
      </c>
      <c r="G11" t="s">
        <v>115</v>
      </c>
      <c r="H11">
        <v>4999</v>
      </c>
      <c r="I11">
        <v>-1</v>
      </c>
      <c r="J11">
        <v>4999</v>
      </c>
      <c r="L11">
        <v>0</v>
      </c>
      <c r="M11" t="s">
        <v>70</v>
      </c>
      <c r="N11" t="s">
        <v>71</v>
      </c>
      <c r="O11" t="s">
        <v>116</v>
      </c>
      <c r="P11" t="s">
        <v>117</v>
      </c>
      <c r="Q11" t="s">
        <v>47</v>
      </c>
      <c r="R11" t="s">
        <v>118</v>
      </c>
      <c r="S11" t="s">
        <v>35</v>
      </c>
      <c r="T11" t="s">
        <v>49</v>
      </c>
      <c r="U11" t="s">
        <v>119</v>
      </c>
      <c r="V11" t="s">
        <v>120</v>
      </c>
      <c r="W11" t="s">
        <v>121</v>
      </c>
    </row>
    <row r="12" spans="1:23" x14ac:dyDescent="0.3">
      <c r="A12" t="s">
        <v>122</v>
      </c>
      <c r="B12" t="s">
        <v>123</v>
      </c>
      <c r="C12" t="s">
        <v>124</v>
      </c>
      <c r="D12" t="s">
        <v>26</v>
      </c>
      <c r="E12" t="s">
        <v>125</v>
      </c>
      <c r="F12" t="s">
        <v>79</v>
      </c>
      <c r="G12" t="s">
        <v>126</v>
      </c>
      <c r="H12">
        <v>1299</v>
      </c>
      <c r="I12">
        <v>2</v>
      </c>
      <c r="J12">
        <v>2598</v>
      </c>
      <c r="K12" t="s">
        <v>127</v>
      </c>
      <c r="L12">
        <v>10</v>
      </c>
      <c r="M12" t="s">
        <v>128</v>
      </c>
      <c r="N12" t="s">
        <v>31</v>
      </c>
      <c r="O12" t="s">
        <v>129</v>
      </c>
      <c r="P12" t="s">
        <v>130</v>
      </c>
      <c r="Q12" t="s">
        <v>47</v>
      </c>
      <c r="R12" t="s">
        <v>103</v>
      </c>
      <c r="S12" t="s">
        <v>35</v>
      </c>
      <c r="T12" t="s">
        <v>36</v>
      </c>
      <c r="W12" t="s">
        <v>37</v>
      </c>
    </row>
    <row r="13" spans="1:23" x14ac:dyDescent="0.3">
      <c r="A13" t="s">
        <v>131</v>
      </c>
      <c r="B13" t="s">
        <v>123</v>
      </c>
      <c r="C13" t="s">
        <v>132</v>
      </c>
      <c r="D13" t="s">
        <v>26</v>
      </c>
      <c r="E13" t="s">
        <v>133</v>
      </c>
      <c r="F13" t="s">
        <v>42</v>
      </c>
      <c r="G13" t="s">
        <v>134</v>
      </c>
      <c r="H13">
        <v>3299</v>
      </c>
      <c r="I13">
        <v>1</v>
      </c>
      <c r="J13">
        <v>3299</v>
      </c>
      <c r="L13">
        <v>0</v>
      </c>
      <c r="M13" t="s">
        <v>60</v>
      </c>
      <c r="N13" t="s">
        <v>46</v>
      </c>
      <c r="O13" t="s">
        <v>135</v>
      </c>
      <c r="P13" t="s">
        <v>136</v>
      </c>
      <c r="Q13" t="s">
        <v>47</v>
      </c>
      <c r="S13" t="s">
        <v>137</v>
      </c>
      <c r="T13" t="s">
        <v>36</v>
      </c>
      <c r="W13" t="s">
        <v>37</v>
      </c>
    </row>
    <row r="14" spans="1:23" x14ac:dyDescent="0.3">
      <c r="A14" t="s">
        <v>138</v>
      </c>
      <c r="B14" t="s">
        <v>123</v>
      </c>
      <c r="C14" t="s">
        <v>139</v>
      </c>
      <c r="D14" t="s">
        <v>40</v>
      </c>
      <c r="E14" t="s">
        <v>140</v>
      </c>
      <c r="F14" t="s">
        <v>28</v>
      </c>
      <c r="G14" t="s">
        <v>141</v>
      </c>
      <c r="H14">
        <v>2499</v>
      </c>
      <c r="I14">
        <v>1</v>
      </c>
      <c r="J14">
        <v>2499</v>
      </c>
      <c r="L14">
        <v>0</v>
      </c>
      <c r="M14" t="s">
        <v>45</v>
      </c>
      <c r="N14" t="s">
        <v>31</v>
      </c>
      <c r="O14" t="s">
        <v>32</v>
      </c>
      <c r="P14" t="s">
        <v>33</v>
      </c>
      <c r="Q14" t="s">
        <v>32</v>
      </c>
      <c r="R14" t="s">
        <v>110</v>
      </c>
      <c r="S14" t="s">
        <v>35</v>
      </c>
      <c r="T14" t="s">
        <v>36</v>
      </c>
      <c r="W14" t="s">
        <v>37</v>
      </c>
    </row>
    <row r="15" spans="1:23" x14ac:dyDescent="0.3">
      <c r="A15" t="s">
        <v>142</v>
      </c>
      <c r="B15" t="s">
        <v>123</v>
      </c>
      <c r="C15" t="s">
        <v>143</v>
      </c>
      <c r="D15" t="s">
        <v>26</v>
      </c>
      <c r="E15" t="s">
        <v>144</v>
      </c>
      <c r="F15" t="s">
        <v>58</v>
      </c>
      <c r="G15" t="s">
        <v>145</v>
      </c>
      <c r="H15">
        <v>1799</v>
      </c>
      <c r="I15">
        <v>2</v>
      </c>
      <c r="J15">
        <v>3598</v>
      </c>
      <c r="K15" t="s">
        <v>44</v>
      </c>
      <c r="L15">
        <v>20</v>
      </c>
      <c r="M15" t="s">
        <v>30</v>
      </c>
      <c r="N15" t="s">
        <v>71</v>
      </c>
      <c r="O15" t="s">
        <v>47</v>
      </c>
      <c r="P15" t="s">
        <v>47</v>
      </c>
      <c r="Q15" t="s">
        <v>47</v>
      </c>
      <c r="R15" t="s">
        <v>118</v>
      </c>
      <c r="S15" t="s">
        <v>35</v>
      </c>
      <c r="T15" t="s">
        <v>49</v>
      </c>
      <c r="U15" t="s">
        <v>50</v>
      </c>
      <c r="V15" t="s">
        <v>146</v>
      </c>
      <c r="W15" t="s">
        <v>52</v>
      </c>
    </row>
    <row r="16" spans="1:23" x14ac:dyDescent="0.3">
      <c r="A16" t="s">
        <v>147</v>
      </c>
      <c r="B16" t="s">
        <v>123</v>
      </c>
      <c r="C16" t="s">
        <v>148</v>
      </c>
      <c r="D16" t="s">
        <v>26</v>
      </c>
      <c r="E16" t="s">
        <v>149</v>
      </c>
      <c r="F16" t="s">
        <v>67</v>
      </c>
      <c r="G16" t="s">
        <v>150</v>
      </c>
      <c r="H16">
        <v>2799</v>
      </c>
      <c r="I16">
        <v>1</v>
      </c>
      <c r="J16">
        <v>2799</v>
      </c>
      <c r="L16">
        <v>0</v>
      </c>
      <c r="M16" t="s">
        <v>70</v>
      </c>
      <c r="N16" t="s">
        <v>46</v>
      </c>
      <c r="O16" t="s">
        <v>61</v>
      </c>
      <c r="P16" t="s">
        <v>62</v>
      </c>
      <c r="Q16" t="s">
        <v>61</v>
      </c>
      <c r="R16" t="s">
        <v>151</v>
      </c>
      <c r="S16" t="s">
        <v>35</v>
      </c>
      <c r="T16" t="s">
        <v>36</v>
      </c>
      <c r="W16" t="s">
        <v>37</v>
      </c>
    </row>
    <row r="17" spans="1:23" x14ac:dyDescent="0.3">
      <c r="A17" t="s">
        <v>152</v>
      </c>
      <c r="B17" t="s">
        <v>48</v>
      </c>
      <c r="C17" t="s">
        <v>153</v>
      </c>
      <c r="D17" t="s">
        <v>40</v>
      </c>
      <c r="E17" t="s">
        <v>154</v>
      </c>
      <c r="F17" t="s">
        <v>79</v>
      </c>
      <c r="G17" t="s">
        <v>155</v>
      </c>
      <c r="H17">
        <v>599</v>
      </c>
      <c r="I17">
        <v>4</v>
      </c>
      <c r="J17">
        <v>2396</v>
      </c>
      <c r="L17">
        <v>0</v>
      </c>
      <c r="M17" t="s">
        <v>60</v>
      </c>
      <c r="N17" t="s">
        <v>31</v>
      </c>
      <c r="O17" t="s">
        <v>156</v>
      </c>
      <c r="P17" t="s">
        <v>130</v>
      </c>
      <c r="Q17" t="s">
        <v>47</v>
      </c>
      <c r="R17" t="s">
        <v>157</v>
      </c>
      <c r="S17" t="s">
        <v>35</v>
      </c>
      <c r="T17" t="s">
        <v>49</v>
      </c>
      <c r="U17" t="s">
        <v>158</v>
      </c>
      <c r="V17" t="s">
        <v>159</v>
      </c>
      <c r="W17" t="s">
        <v>52</v>
      </c>
    </row>
    <row r="18" spans="1:23" x14ac:dyDescent="0.3">
      <c r="A18" t="s">
        <v>160</v>
      </c>
      <c r="B18" t="s">
        <v>48</v>
      </c>
      <c r="C18" t="s">
        <v>161</v>
      </c>
      <c r="D18" t="s">
        <v>26</v>
      </c>
      <c r="E18" t="s">
        <v>162</v>
      </c>
      <c r="F18" t="s">
        <v>28</v>
      </c>
      <c r="G18" t="s">
        <v>163</v>
      </c>
      <c r="H18">
        <v>999</v>
      </c>
      <c r="I18">
        <v>1</v>
      </c>
      <c r="J18">
        <v>999</v>
      </c>
      <c r="K18" t="s">
        <v>69</v>
      </c>
      <c r="L18">
        <v>15</v>
      </c>
      <c r="M18" t="s">
        <v>30</v>
      </c>
      <c r="N18" t="s">
        <v>46</v>
      </c>
      <c r="O18" t="s">
        <v>164</v>
      </c>
      <c r="P18" t="s">
        <v>165</v>
      </c>
      <c r="Q18" t="s">
        <v>47</v>
      </c>
      <c r="R18" t="s">
        <v>151</v>
      </c>
      <c r="S18" t="s">
        <v>166</v>
      </c>
      <c r="T18" t="s">
        <v>36</v>
      </c>
      <c r="W18" t="s">
        <v>37</v>
      </c>
    </row>
    <row r="19" spans="1:23" x14ac:dyDescent="0.3">
      <c r="A19" t="s">
        <v>167</v>
      </c>
      <c r="B19" t="s">
        <v>48</v>
      </c>
      <c r="C19" t="s">
        <v>168</v>
      </c>
      <c r="D19" t="s">
        <v>26</v>
      </c>
      <c r="E19" t="s">
        <v>169</v>
      </c>
      <c r="F19" t="s">
        <v>42</v>
      </c>
      <c r="G19" t="s">
        <v>170</v>
      </c>
      <c r="H19">
        <v>2899</v>
      </c>
      <c r="I19">
        <v>1</v>
      </c>
      <c r="J19">
        <v>2899</v>
      </c>
      <c r="L19">
        <v>0</v>
      </c>
      <c r="M19" t="s">
        <v>45</v>
      </c>
      <c r="N19" t="s">
        <v>31</v>
      </c>
      <c r="O19" t="s">
        <v>171</v>
      </c>
      <c r="P19" t="s">
        <v>172</v>
      </c>
      <c r="Q19" t="s">
        <v>32</v>
      </c>
      <c r="R19" t="s">
        <v>157</v>
      </c>
      <c r="S19" t="s">
        <v>35</v>
      </c>
      <c r="T19" t="s">
        <v>36</v>
      </c>
      <c r="W19" t="s">
        <v>37</v>
      </c>
    </row>
    <row r="20" spans="1:23" x14ac:dyDescent="0.3">
      <c r="A20" t="s">
        <v>173</v>
      </c>
      <c r="B20" t="s">
        <v>48</v>
      </c>
      <c r="C20" t="s">
        <v>174</v>
      </c>
      <c r="D20" t="s">
        <v>40</v>
      </c>
      <c r="E20" t="s">
        <v>175</v>
      </c>
      <c r="F20" t="s">
        <v>58</v>
      </c>
      <c r="G20" t="s">
        <v>176</v>
      </c>
      <c r="H20">
        <v>1499</v>
      </c>
      <c r="I20">
        <v>2</v>
      </c>
      <c r="J20">
        <v>2998</v>
      </c>
      <c r="L20">
        <v>0</v>
      </c>
      <c r="M20" t="s">
        <v>128</v>
      </c>
      <c r="N20" t="s">
        <v>71</v>
      </c>
      <c r="O20" t="s">
        <v>177</v>
      </c>
      <c r="P20" t="s">
        <v>109</v>
      </c>
      <c r="Q20" t="s">
        <v>32</v>
      </c>
      <c r="R20" t="s">
        <v>178</v>
      </c>
      <c r="S20" t="s">
        <v>35</v>
      </c>
      <c r="T20" t="s">
        <v>49</v>
      </c>
      <c r="U20" t="s">
        <v>50</v>
      </c>
      <c r="V20" t="s">
        <v>179</v>
      </c>
      <c r="W20" t="s">
        <v>52</v>
      </c>
    </row>
    <row r="21" spans="1:23" x14ac:dyDescent="0.3">
      <c r="A21" t="s">
        <v>180</v>
      </c>
      <c r="B21" t="s">
        <v>34</v>
      </c>
      <c r="C21" t="s">
        <v>181</v>
      </c>
      <c r="D21" t="s">
        <v>26</v>
      </c>
      <c r="E21" t="s">
        <v>182</v>
      </c>
      <c r="F21" t="s">
        <v>67</v>
      </c>
      <c r="G21" t="s">
        <v>183</v>
      </c>
      <c r="H21">
        <v>3999</v>
      </c>
      <c r="I21">
        <v>1</v>
      </c>
      <c r="J21">
        <v>3999</v>
      </c>
      <c r="K21" t="s">
        <v>44</v>
      </c>
      <c r="L21">
        <v>20</v>
      </c>
      <c r="M21" t="s">
        <v>60</v>
      </c>
      <c r="N21" t="s">
        <v>31</v>
      </c>
      <c r="O21" t="s">
        <v>184</v>
      </c>
      <c r="P21" t="s">
        <v>185</v>
      </c>
      <c r="Q21" t="s">
        <v>47</v>
      </c>
      <c r="S21" t="s">
        <v>137</v>
      </c>
      <c r="T21" t="s">
        <v>36</v>
      </c>
      <c r="W21" t="s">
        <v>37</v>
      </c>
    </row>
    <row r="22" spans="1:23" x14ac:dyDescent="0.3">
      <c r="A22" t="s">
        <v>186</v>
      </c>
      <c r="B22" t="s">
        <v>34</v>
      </c>
      <c r="C22" t="s">
        <v>187</v>
      </c>
      <c r="D22" t="s">
        <v>26</v>
      </c>
      <c r="E22" t="s">
        <v>188</v>
      </c>
      <c r="F22" t="s">
        <v>28</v>
      </c>
      <c r="G22" t="s">
        <v>189</v>
      </c>
      <c r="H22">
        <v>1699</v>
      </c>
      <c r="I22">
        <v>1</v>
      </c>
      <c r="J22">
        <v>1699</v>
      </c>
      <c r="L22">
        <v>0</v>
      </c>
      <c r="M22" t="s">
        <v>30</v>
      </c>
      <c r="N22" t="s">
        <v>46</v>
      </c>
      <c r="O22" t="s">
        <v>190</v>
      </c>
      <c r="P22" t="s">
        <v>172</v>
      </c>
      <c r="Q22" t="s">
        <v>32</v>
      </c>
      <c r="R22" t="s">
        <v>51</v>
      </c>
      <c r="S22" t="s">
        <v>35</v>
      </c>
      <c r="T22" t="s">
        <v>36</v>
      </c>
      <c r="W22" t="s">
        <v>37</v>
      </c>
    </row>
    <row r="23" spans="1:23" x14ac:dyDescent="0.3">
      <c r="A23" t="s">
        <v>191</v>
      </c>
      <c r="B23" t="s">
        <v>34</v>
      </c>
      <c r="C23" t="s">
        <v>192</v>
      </c>
      <c r="D23" t="s">
        <v>40</v>
      </c>
      <c r="E23" t="s">
        <v>193</v>
      </c>
      <c r="F23" t="s">
        <v>42</v>
      </c>
      <c r="G23" t="s">
        <v>194</v>
      </c>
      <c r="H23">
        <v>2399</v>
      </c>
      <c r="I23">
        <v>1</v>
      </c>
      <c r="J23">
        <v>2399</v>
      </c>
      <c r="L23">
        <v>0</v>
      </c>
      <c r="M23" t="s">
        <v>45</v>
      </c>
      <c r="N23" t="s">
        <v>31</v>
      </c>
      <c r="O23" t="s">
        <v>195</v>
      </c>
      <c r="P23" t="s">
        <v>33</v>
      </c>
      <c r="Q23" t="s">
        <v>32</v>
      </c>
      <c r="R23" t="s">
        <v>196</v>
      </c>
      <c r="S23" t="s">
        <v>35</v>
      </c>
      <c r="T23" t="s">
        <v>49</v>
      </c>
      <c r="U23" t="s">
        <v>75</v>
      </c>
      <c r="V23" t="s">
        <v>197</v>
      </c>
      <c r="W23" t="s">
        <v>52</v>
      </c>
    </row>
    <row r="24" spans="1:23" x14ac:dyDescent="0.3">
      <c r="A24" t="s">
        <v>198</v>
      </c>
      <c r="B24" t="s">
        <v>34</v>
      </c>
      <c r="C24" t="s">
        <v>199</v>
      </c>
      <c r="D24" t="s">
        <v>26</v>
      </c>
      <c r="E24" t="s">
        <v>200</v>
      </c>
      <c r="F24" t="s">
        <v>79</v>
      </c>
      <c r="G24" t="s">
        <v>201</v>
      </c>
      <c r="H24">
        <v>899</v>
      </c>
      <c r="I24">
        <v>1</v>
      </c>
      <c r="J24">
        <v>899</v>
      </c>
      <c r="K24" t="s">
        <v>127</v>
      </c>
      <c r="L24">
        <v>10</v>
      </c>
      <c r="M24" t="s">
        <v>70</v>
      </c>
      <c r="N24" t="s">
        <v>46</v>
      </c>
      <c r="O24" t="s">
        <v>202</v>
      </c>
      <c r="P24" t="s">
        <v>73</v>
      </c>
      <c r="Q24" t="s">
        <v>61</v>
      </c>
      <c r="R24" t="s">
        <v>203</v>
      </c>
      <c r="S24" t="s">
        <v>35</v>
      </c>
      <c r="T24" t="s">
        <v>36</v>
      </c>
      <c r="W24" t="s">
        <v>37</v>
      </c>
    </row>
    <row r="25" spans="1:23" x14ac:dyDescent="0.3">
      <c r="A25" t="s">
        <v>204</v>
      </c>
      <c r="B25" t="s">
        <v>63</v>
      </c>
      <c r="C25" t="s">
        <v>205</v>
      </c>
      <c r="D25" t="s">
        <v>26</v>
      </c>
      <c r="E25" t="s">
        <v>206</v>
      </c>
      <c r="F25" t="s">
        <v>58</v>
      </c>
      <c r="G25" t="s">
        <v>207</v>
      </c>
      <c r="H25">
        <v>1199</v>
      </c>
      <c r="I25">
        <v>3</v>
      </c>
      <c r="J25">
        <v>3597</v>
      </c>
      <c r="L25">
        <v>0</v>
      </c>
      <c r="M25" t="s">
        <v>60</v>
      </c>
      <c r="N25" t="s">
        <v>71</v>
      </c>
      <c r="O25" t="s">
        <v>208</v>
      </c>
      <c r="P25" t="s">
        <v>209</v>
      </c>
      <c r="Q25" t="s">
        <v>61</v>
      </c>
      <c r="R25" t="s">
        <v>90</v>
      </c>
      <c r="S25" t="s">
        <v>35</v>
      </c>
      <c r="T25" t="s">
        <v>49</v>
      </c>
      <c r="U25" t="s">
        <v>89</v>
      </c>
      <c r="V25" t="s">
        <v>210</v>
      </c>
      <c r="W25" t="s">
        <v>52</v>
      </c>
    </row>
    <row r="26" spans="1:23" x14ac:dyDescent="0.3">
      <c r="A26" t="s">
        <v>211</v>
      </c>
      <c r="B26" t="s">
        <v>63</v>
      </c>
      <c r="C26" t="s">
        <v>212</v>
      </c>
      <c r="D26" t="s">
        <v>26</v>
      </c>
      <c r="E26" t="s">
        <v>213</v>
      </c>
      <c r="F26" t="s">
        <v>28</v>
      </c>
      <c r="G26" t="s">
        <v>214</v>
      </c>
      <c r="H26">
        <v>1799</v>
      </c>
      <c r="I26">
        <v>2</v>
      </c>
      <c r="J26">
        <v>3598</v>
      </c>
      <c r="L26">
        <v>0</v>
      </c>
      <c r="M26" t="s">
        <v>30</v>
      </c>
      <c r="N26" t="s">
        <v>31</v>
      </c>
      <c r="O26" t="s">
        <v>215</v>
      </c>
      <c r="P26" t="s">
        <v>216</v>
      </c>
      <c r="Q26" t="s">
        <v>61</v>
      </c>
      <c r="R26" t="s">
        <v>203</v>
      </c>
      <c r="S26" t="s">
        <v>35</v>
      </c>
      <c r="T26" t="s">
        <v>36</v>
      </c>
      <c r="W26" t="s">
        <v>37</v>
      </c>
    </row>
    <row r="27" spans="1:23" x14ac:dyDescent="0.3">
      <c r="A27" t="s">
        <v>217</v>
      </c>
      <c r="B27" t="s">
        <v>63</v>
      </c>
      <c r="C27" t="s">
        <v>218</v>
      </c>
      <c r="D27" t="s">
        <v>26</v>
      </c>
      <c r="E27" t="s">
        <v>219</v>
      </c>
      <c r="F27" t="s">
        <v>42</v>
      </c>
      <c r="G27" t="s">
        <v>220</v>
      </c>
      <c r="H27">
        <v>2699</v>
      </c>
      <c r="I27">
        <v>1</v>
      </c>
      <c r="J27">
        <v>2699</v>
      </c>
      <c r="L27">
        <v>0</v>
      </c>
      <c r="M27" t="s">
        <v>45</v>
      </c>
      <c r="N27" t="s">
        <v>46</v>
      </c>
      <c r="O27" t="s">
        <v>221</v>
      </c>
      <c r="P27" t="s">
        <v>209</v>
      </c>
      <c r="Q27" t="s">
        <v>61</v>
      </c>
      <c r="R27" t="s">
        <v>90</v>
      </c>
      <c r="S27" t="s">
        <v>35</v>
      </c>
      <c r="T27" t="s">
        <v>36</v>
      </c>
      <c r="W27" t="s">
        <v>37</v>
      </c>
    </row>
    <row r="28" spans="1:23" x14ac:dyDescent="0.3">
      <c r="A28" t="s">
        <v>222</v>
      </c>
      <c r="B28" t="s">
        <v>63</v>
      </c>
      <c r="C28" t="s">
        <v>223</v>
      </c>
      <c r="D28" t="s">
        <v>40</v>
      </c>
      <c r="E28" t="s">
        <v>224</v>
      </c>
      <c r="F28" t="s">
        <v>67</v>
      </c>
      <c r="G28" t="s">
        <v>225</v>
      </c>
      <c r="H28">
        <v>4599</v>
      </c>
      <c r="I28">
        <v>1</v>
      </c>
      <c r="J28">
        <v>4599</v>
      </c>
      <c r="K28" t="s">
        <v>127</v>
      </c>
      <c r="L28">
        <v>10</v>
      </c>
      <c r="M28" t="s">
        <v>70</v>
      </c>
      <c r="N28" t="s">
        <v>31</v>
      </c>
      <c r="O28" t="s">
        <v>226</v>
      </c>
      <c r="P28" t="s">
        <v>62</v>
      </c>
      <c r="Q28" t="s">
        <v>61</v>
      </c>
      <c r="R28" t="s">
        <v>227</v>
      </c>
      <c r="S28" t="s">
        <v>35</v>
      </c>
      <c r="T28" t="s">
        <v>49</v>
      </c>
      <c r="U28" t="s">
        <v>50</v>
      </c>
      <c r="V28" t="s">
        <v>228</v>
      </c>
      <c r="W28" t="s">
        <v>52</v>
      </c>
    </row>
    <row r="29" spans="1:23" x14ac:dyDescent="0.3">
      <c r="A29" t="s">
        <v>229</v>
      </c>
      <c r="B29" t="s">
        <v>88</v>
      </c>
      <c r="C29" t="s">
        <v>230</v>
      </c>
      <c r="D29" t="s">
        <v>26</v>
      </c>
      <c r="E29" t="s">
        <v>231</v>
      </c>
      <c r="F29" t="s">
        <v>79</v>
      </c>
      <c r="G29" t="s">
        <v>232</v>
      </c>
      <c r="H29">
        <v>1099</v>
      </c>
      <c r="I29">
        <v>1</v>
      </c>
      <c r="J29">
        <v>1099</v>
      </c>
      <c r="L29">
        <v>0</v>
      </c>
      <c r="M29" t="s">
        <v>30</v>
      </c>
      <c r="N29" t="s">
        <v>71</v>
      </c>
      <c r="O29" t="s">
        <v>233</v>
      </c>
      <c r="P29" t="s">
        <v>109</v>
      </c>
      <c r="Q29" t="s">
        <v>32</v>
      </c>
      <c r="R29" t="s">
        <v>76</v>
      </c>
      <c r="S29" t="s">
        <v>35</v>
      </c>
      <c r="T29" t="s">
        <v>36</v>
      </c>
      <c r="W29" t="s">
        <v>37</v>
      </c>
    </row>
    <row r="30" spans="1:23" x14ac:dyDescent="0.3">
      <c r="A30" t="s">
        <v>234</v>
      </c>
      <c r="B30" t="s">
        <v>88</v>
      </c>
      <c r="C30" t="s">
        <v>235</v>
      </c>
      <c r="D30" t="s">
        <v>26</v>
      </c>
      <c r="E30" t="s">
        <v>236</v>
      </c>
      <c r="F30" t="s">
        <v>28</v>
      </c>
      <c r="G30" t="s">
        <v>237</v>
      </c>
      <c r="H30">
        <v>1899</v>
      </c>
      <c r="I30">
        <v>1</v>
      </c>
      <c r="J30">
        <v>1899</v>
      </c>
      <c r="L30">
        <v>0</v>
      </c>
      <c r="M30" t="s">
        <v>60</v>
      </c>
      <c r="N30" t="s">
        <v>46</v>
      </c>
      <c r="O30" t="s">
        <v>238</v>
      </c>
      <c r="P30" t="s">
        <v>109</v>
      </c>
      <c r="Q30" t="s">
        <v>32</v>
      </c>
      <c r="S30" t="s">
        <v>137</v>
      </c>
      <c r="T30" t="s">
        <v>36</v>
      </c>
      <c r="W30" t="s">
        <v>37</v>
      </c>
    </row>
    <row r="31" spans="1:23" x14ac:dyDescent="0.3">
      <c r="A31" t="s">
        <v>239</v>
      </c>
      <c r="B31" t="s">
        <v>88</v>
      </c>
      <c r="C31" t="s">
        <v>240</v>
      </c>
      <c r="D31" t="s">
        <v>26</v>
      </c>
      <c r="E31" t="s">
        <v>241</v>
      </c>
      <c r="F31" t="s">
        <v>58</v>
      </c>
      <c r="G31" t="s">
        <v>242</v>
      </c>
      <c r="H31">
        <v>2199</v>
      </c>
      <c r="I31">
        <v>1</v>
      </c>
      <c r="J31">
        <v>2199</v>
      </c>
      <c r="K31" t="s">
        <v>44</v>
      </c>
      <c r="L31">
        <v>20</v>
      </c>
      <c r="M31" t="s">
        <v>45</v>
      </c>
      <c r="N31" t="s">
        <v>31</v>
      </c>
      <c r="O31" t="s">
        <v>243</v>
      </c>
      <c r="P31" t="s">
        <v>130</v>
      </c>
      <c r="Q31" t="s">
        <v>47</v>
      </c>
      <c r="R31" t="s">
        <v>76</v>
      </c>
      <c r="S31" t="s">
        <v>35</v>
      </c>
      <c r="T31" t="s">
        <v>36</v>
      </c>
      <c r="W31" t="s">
        <v>37</v>
      </c>
    </row>
    <row r="32" spans="1:23" x14ac:dyDescent="0.3">
      <c r="A32" t="s">
        <v>244</v>
      </c>
      <c r="B32" t="s">
        <v>88</v>
      </c>
      <c r="C32" t="s">
        <v>245</v>
      </c>
      <c r="D32" t="s">
        <v>40</v>
      </c>
      <c r="E32" t="s">
        <v>246</v>
      </c>
      <c r="F32" t="s">
        <v>42</v>
      </c>
      <c r="G32" t="s">
        <v>247</v>
      </c>
      <c r="H32">
        <v>5499</v>
      </c>
      <c r="I32">
        <v>1</v>
      </c>
      <c r="J32">
        <v>5499</v>
      </c>
      <c r="L32">
        <v>0</v>
      </c>
      <c r="M32" t="s">
        <v>45</v>
      </c>
      <c r="N32" t="s">
        <v>46</v>
      </c>
      <c r="O32" t="s">
        <v>32</v>
      </c>
      <c r="P32" t="s">
        <v>33</v>
      </c>
      <c r="Q32" t="s">
        <v>32</v>
      </c>
      <c r="R32" t="s">
        <v>248</v>
      </c>
      <c r="S32" t="s">
        <v>35</v>
      </c>
      <c r="T32" t="s">
        <v>49</v>
      </c>
      <c r="U32" t="s">
        <v>50</v>
      </c>
      <c r="V32" t="s">
        <v>249</v>
      </c>
      <c r="W32" t="s">
        <v>52</v>
      </c>
    </row>
    <row r="33" spans="1:23" x14ac:dyDescent="0.3">
      <c r="A33" t="s">
        <v>250</v>
      </c>
      <c r="B33" t="s">
        <v>74</v>
      </c>
      <c r="C33" t="s">
        <v>251</v>
      </c>
      <c r="D33" t="s">
        <v>26</v>
      </c>
      <c r="E33" t="s">
        <v>252</v>
      </c>
      <c r="F33" t="s">
        <v>28</v>
      </c>
      <c r="G33" t="s">
        <v>253</v>
      </c>
      <c r="H33">
        <v>899</v>
      </c>
      <c r="I33">
        <v>2</v>
      </c>
      <c r="J33">
        <v>1798</v>
      </c>
      <c r="L33">
        <v>0</v>
      </c>
      <c r="M33" t="s">
        <v>30</v>
      </c>
      <c r="N33" t="s">
        <v>31</v>
      </c>
      <c r="O33" t="s">
        <v>47</v>
      </c>
      <c r="P33" t="s">
        <v>47</v>
      </c>
      <c r="Q33" t="s">
        <v>47</v>
      </c>
      <c r="R33" t="s">
        <v>157</v>
      </c>
      <c r="S33" t="s">
        <v>35</v>
      </c>
      <c r="T33" t="s">
        <v>36</v>
      </c>
      <c r="W33" t="s">
        <v>37</v>
      </c>
    </row>
    <row r="34" spans="1:23" x14ac:dyDescent="0.3">
      <c r="A34" t="s">
        <v>254</v>
      </c>
      <c r="B34" t="s">
        <v>74</v>
      </c>
      <c r="C34" t="s">
        <v>255</v>
      </c>
      <c r="D34" t="s">
        <v>26</v>
      </c>
      <c r="E34" t="s">
        <v>256</v>
      </c>
      <c r="F34" t="s">
        <v>67</v>
      </c>
      <c r="G34" t="s">
        <v>257</v>
      </c>
      <c r="H34">
        <v>6999</v>
      </c>
      <c r="I34">
        <v>1</v>
      </c>
      <c r="J34">
        <v>6999</v>
      </c>
      <c r="K34" t="s">
        <v>69</v>
      </c>
      <c r="L34">
        <v>15</v>
      </c>
      <c r="M34" t="s">
        <v>70</v>
      </c>
      <c r="N34" t="s">
        <v>71</v>
      </c>
      <c r="O34" t="s">
        <v>101</v>
      </c>
      <c r="P34" t="s">
        <v>102</v>
      </c>
      <c r="Q34" t="s">
        <v>47</v>
      </c>
      <c r="R34" t="s">
        <v>196</v>
      </c>
      <c r="S34" t="s">
        <v>35</v>
      </c>
      <c r="T34" t="s">
        <v>49</v>
      </c>
      <c r="U34" t="s">
        <v>75</v>
      </c>
      <c r="V34" t="s">
        <v>210</v>
      </c>
      <c r="W34" t="s">
        <v>52</v>
      </c>
    </row>
    <row r="35" spans="1:23" x14ac:dyDescent="0.3">
      <c r="A35" t="s">
        <v>258</v>
      </c>
      <c r="B35" t="s">
        <v>74</v>
      </c>
      <c r="C35" t="s">
        <v>259</v>
      </c>
      <c r="D35" t="s">
        <v>40</v>
      </c>
      <c r="E35" t="s">
        <v>260</v>
      </c>
      <c r="F35" t="s">
        <v>79</v>
      </c>
      <c r="G35" t="s">
        <v>261</v>
      </c>
      <c r="H35">
        <v>2999</v>
      </c>
      <c r="I35">
        <v>1</v>
      </c>
      <c r="J35">
        <v>2999</v>
      </c>
      <c r="L35">
        <v>0</v>
      </c>
      <c r="M35" t="s">
        <v>45</v>
      </c>
      <c r="N35" t="s">
        <v>46</v>
      </c>
      <c r="O35" t="s">
        <v>72</v>
      </c>
      <c r="P35" t="s">
        <v>73</v>
      </c>
      <c r="Q35" t="s">
        <v>61</v>
      </c>
      <c r="R35" t="s">
        <v>51</v>
      </c>
      <c r="S35" t="s">
        <v>35</v>
      </c>
      <c r="T35" t="s">
        <v>36</v>
      </c>
      <c r="W35" t="s">
        <v>37</v>
      </c>
    </row>
    <row r="36" spans="1:23" x14ac:dyDescent="0.3">
      <c r="A36" t="s">
        <v>262</v>
      </c>
      <c r="B36" t="s">
        <v>74</v>
      </c>
      <c r="C36" t="s">
        <v>263</v>
      </c>
      <c r="D36" t="s">
        <v>26</v>
      </c>
      <c r="E36" t="s">
        <v>264</v>
      </c>
      <c r="F36" t="s">
        <v>58</v>
      </c>
      <c r="G36" t="s">
        <v>265</v>
      </c>
      <c r="H36">
        <v>1599</v>
      </c>
      <c r="I36">
        <v>1</v>
      </c>
      <c r="J36">
        <v>1599</v>
      </c>
      <c r="L36">
        <v>0</v>
      </c>
      <c r="M36" t="s">
        <v>60</v>
      </c>
      <c r="N36" t="s">
        <v>31</v>
      </c>
      <c r="O36" t="s">
        <v>86</v>
      </c>
      <c r="P36" t="s">
        <v>87</v>
      </c>
      <c r="Q36" t="s">
        <v>61</v>
      </c>
      <c r="R36" t="s">
        <v>203</v>
      </c>
      <c r="S36" t="s">
        <v>35</v>
      </c>
      <c r="T36" t="s">
        <v>49</v>
      </c>
      <c r="U36" t="s">
        <v>50</v>
      </c>
      <c r="V36" t="s">
        <v>228</v>
      </c>
      <c r="W36" t="s">
        <v>52</v>
      </c>
    </row>
    <row r="37" spans="1:23" x14ac:dyDescent="0.3">
      <c r="A37" t="s">
        <v>266</v>
      </c>
      <c r="B37" t="s">
        <v>110</v>
      </c>
      <c r="C37" t="s">
        <v>267</v>
      </c>
      <c r="D37" t="s">
        <v>26</v>
      </c>
      <c r="E37" t="s">
        <v>268</v>
      </c>
      <c r="F37" t="s">
        <v>42</v>
      </c>
      <c r="G37" t="s">
        <v>269</v>
      </c>
      <c r="H37">
        <v>1999</v>
      </c>
      <c r="I37">
        <v>1</v>
      </c>
      <c r="J37">
        <v>1999</v>
      </c>
      <c r="K37" t="s">
        <v>44</v>
      </c>
      <c r="L37">
        <v>20</v>
      </c>
      <c r="M37" t="s">
        <v>128</v>
      </c>
      <c r="N37" t="s">
        <v>46</v>
      </c>
      <c r="O37" t="s">
        <v>95</v>
      </c>
      <c r="P37" t="s">
        <v>33</v>
      </c>
      <c r="Q37" t="s">
        <v>32</v>
      </c>
      <c r="R37" t="s">
        <v>196</v>
      </c>
      <c r="S37" t="s">
        <v>35</v>
      </c>
      <c r="T37" t="s">
        <v>36</v>
      </c>
      <c r="W37" t="s">
        <v>37</v>
      </c>
    </row>
    <row r="38" spans="1:23" x14ac:dyDescent="0.3">
      <c r="A38" t="s">
        <v>270</v>
      </c>
      <c r="B38" t="s">
        <v>110</v>
      </c>
      <c r="C38" t="s">
        <v>271</v>
      </c>
      <c r="D38" t="s">
        <v>26</v>
      </c>
      <c r="E38" t="s">
        <v>272</v>
      </c>
      <c r="F38" t="s">
        <v>28</v>
      </c>
      <c r="G38" t="s">
        <v>273</v>
      </c>
      <c r="H38">
        <v>1799</v>
      </c>
      <c r="I38">
        <v>1</v>
      </c>
      <c r="J38">
        <v>1799</v>
      </c>
      <c r="L38">
        <v>0</v>
      </c>
      <c r="M38" t="s">
        <v>30</v>
      </c>
      <c r="N38" t="s">
        <v>71</v>
      </c>
      <c r="O38" t="s">
        <v>108</v>
      </c>
      <c r="P38" t="s">
        <v>109</v>
      </c>
      <c r="Q38" t="s">
        <v>32</v>
      </c>
      <c r="R38" t="s">
        <v>203</v>
      </c>
      <c r="S38" t="s">
        <v>35</v>
      </c>
      <c r="T38" t="s">
        <v>49</v>
      </c>
      <c r="U38" t="s">
        <v>89</v>
      </c>
      <c r="V38" t="s">
        <v>274</v>
      </c>
      <c r="W38" t="s">
        <v>52</v>
      </c>
    </row>
    <row r="39" spans="1:23" x14ac:dyDescent="0.3">
      <c r="A39" t="s">
        <v>275</v>
      </c>
      <c r="B39" t="s">
        <v>110</v>
      </c>
      <c r="C39" t="s">
        <v>276</v>
      </c>
      <c r="D39" t="s">
        <v>40</v>
      </c>
      <c r="E39" t="s">
        <v>277</v>
      </c>
      <c r="F39" t="s">
        <v>67</v>
      </c>
      <c r="G39" t="s">
        <v>278</v>
      </c>
      <c r="H39">
        <v>7999</v>
      </c>
      <c r="I39">
        <v>1</v>
      </c>
      <c r="J39">
        <v>7999</v>
      </c>
      <c r="L39">
        <v>0</v>
      </c>
      <c r="M39" t="s">
        <v>45</v>
      </c>
      <c r="N39" t="s">
        <v>31</v>
      </c>
      <c r="O39" t="s">
        <v>116</v>
      </c>
      <c r="P39" t="s">
        <v>117</v>
      </c>
      <c r="Q39" t="s">
        <v>47</v>
      </c>
      <c r="R39" t="s">
        <v>90</v>
      </c>
      <c r="S39" t="s">
        <v>35</v>
      </c>
      <c r="T39" t="s">
        <v>36</v>
      </c>
      <c r="W39" t="s">
        <v>37</v>
      </c>
    </row>
    <row r="40" spans="1:23" x14ac:dyDescent="0.3">
      <c r="A40" t="s">
        <v>279</v>
      </c>
      <c r="B40" t="s">
        <v>110</v>
      </c>
      <c r="C40" t="s">
        <v>280</v>
      </c>
      <c r="D40" t="s">
        <v>26</v>
      </c>
      <c r="E40" t="s">
        <v>281</v>
      </c>
      <c r="F40" t="s">
        <v>79</v>
      </c>
      <c r="G40" t="s">
        <v>282</v>
      </c>
      <c r="H40">
        <v>1499</v>
      </c>
      <c r="I40">
        <v>1</v>
      </c>
      <c r="J40">
        <v>1499</v>
      </c>
      <c r="K40" t="s">
        <v>127</v>
      </c>
      <c r="L40">
        <v>10</v>
      </c>
      <c r="M40" t="s">
        <v>70</v>
      </c>
      <c r="N40" t="s">
        <v>46</v>
      </c>
      <c r="O40" t="s">
        <v>129</v>
      </c>
      <c r="P40" t="s">
        <v>130</v>
      </c>
      <c r="Q40" t="s">
        <v>47</v>
      </c>
      <c r="R40" t="s">
        <v>203</v>
      </c>
      <c r="S40" t="s">
        <v>35</v>
      </c>
      <c r="T40" t="s">
        <v>36</v>
      </c>
      <c r="W40" t="s">
        <v>37</v>
      </c>
    </row>
    <row r="41" spans="1:23" x14ac:dyDescent="0.3">
      <c r="A41" t="s">
        <v>283</v>
      </c>
      <c r="B41" t="s">
        <v>103</v>
      </c>
      <c r="C41" t="s">
        <v>284</v>
      </c>
      <c r="D41" t="s">
        <v>26</v>
      </c>
      <c r="E41" t="s">
        <v>285</v>
      </c>
      <c r="F41" t="s">
        <v>58</v>
      </c>
      <c r="G41" t="s">
        <v>286</v>
      </c>
      <c r="H41">
        <v>1699</v>
      </c>
      <c r="I41">
        <v>1</v>
      </c>
      <c r="J41">
        <v>1699</v>
      </c>
      <c r="L41">
        <v>0</v>
      </c>
      <c r="M41" t="s">
        <v>60</v>
      </c>
      <c r="N41" t="s">
        <v>31</v>
      </c>
      <c r="O41" t="s">
        <v>61</v>
      </c>
      <c r="P41" t="s">
        <v>62</v>
      </c>
      <c r="Q41" t="s">
        <v>61</v>
      </c>
      <c r="R41" t="s">
        <v>227</v>
      </c>
      <c r="S41" t="s">
        <v>35</v>
      </c>
      <c r="T41" t="s">
        <v>49</v>
      </c>
      <c r="U41" t="s">
        <v>50</v>
      </c>
      <c r="V41" t="s">
        <v>249</v>
      </c>
      <c r="W41" t="s">
        <v>52</v>
      </c>
    </row>
    <row r="42" spans="1:23" x14ac:dyDescent="0.3">
      <c r="A42" t="s">
        <v>287</v>
      </c>
      <c r="B42" t="s">
        <v>103</v>
      </c>
      <c r="C42" t="s">
        <v>288</v>
      </c>
      <c r="D42" t="s">
        <v>26</v>
      </c>
      <c r="E42" t="s">
        <v>289</v>
      </c>
      <c r="F42" t="s">
        <v>42</v>
      </c>
      <c r="G42" t="s">
        <v>290</v>
      </c>
      <c r="H42">
        <v>2299</v>
      </c>
      <c r="I42">
        <v>1</v>
      </c>
      <c r="J42">
        <v>2299</v>
      </c>
      <c r="L42">
        <v>0</v>
      </c>
      <c r="M42" t="s">
        <v>30</v>
      </c>
      <c r="N42" t="s">
        <v>71</v>
      </c>
      <c r="O42" t="s">
        <v>32</v>
      </c>
      <c r="P42" t="s">
        <v>33</v>
      </c>
      <c r="Q42" t="s">
        <v>32</v>
      </c>
      <c r="R42" t="s">
        <v>90</v>
      </c>
      <c r="S42" t="s">
        <v>35</v>
      </c>
      <c r="T42" t="s">
        <v>36</v>
      </c>
      <c r="W42" t="s">
        <v>37</v>
      </c>
    </row>
    <row r="43" spans="1:23" x14ac:dyDescent="0.3">
      <c r="A43" t="s">
        <v>291</v>
      </c>
      <c r="B43" t="s">
        <v>103</v>
      </c>
      <c r="C43" t="s">
        <v>292</v>
      </c>
      <c r="D43" t="s">
        <v>40</v>
      </c>
      <c r="E43" t="s">
        <v>293</v>
      </c>
      <c r="F43" t="s">
        <v>28</v>
      </c>
      <c r="G43" t="s">
        <v>294</v>
      </c>
      <c r="H43">
        <v>1599</v>
      </c>
      <c r="I43">
        <v>2</v>
      </c>
      <c r="J43">
        <v>3198</v>
      </c>
      <c r="K43" t="s">
        <v>44</v>
      </c>
      <c r="L43">
        <v>20</v>
      </c>
      <c r="M43" t="s">
        <v>45</v>
      </c>
      <c r="N43" t="s">
        <v>46</v>
      </c>
      <c r="O43" t="s">
        <v>47</v>
      </c>
      <c r="P43" t="s">
        <v>47</v>
      </c>
      <c r="Q43" t="s">
        <v>47</v>
      </c>
      <c r="R43" t="s">
        <v>203</v>
      </c>
      <c r="S43" t="s">
        <v>35</v>
      </c>
      <c r="T43" t="s">
        <v>49</v>
      </c>
      <c r="U43" t="s">
        <v>119</v>
      </c>
      <c r="V43" t="s">
        <v>228</v>
      </c>
      <c r="W43" t="s">
        <v>52</v>
      </c>
    </row>
    <row r="44" spans="1:23" x14ac:dyDescent="0.3">
      <c r="A44" t="s">
        <v>295</v>
      </c>
      <c r="B44" t="s">
        <v>103</v>
      </c>
      <c r="C44" t="s">
        <v>296</v>
      </c>
      <c r="D44" t="s">
        <v>26</v>
      </c>
      <c r="E44" t="s">
        <v>297</v>
      </c>
      <c r="F44" t="s">
        <v>67</v>
      </c>
      <c r="G44" t="s">
        <v>298</v>
      </c>
      <c r="H44">
        <v>2499</v>
      </c>
      <c r="I44">
        <v>1</v>
      </c>
      <c r="J44">
        <v>2499</v>
      </c>
      <c r="L44">
        <v>0</v>
      </c>
      <c r="M44" t="s">
        <v>128</v>
      </c>
      <c r="N44" t="s">
        <v>31</v>
      </c>
      <c r="O44" t="s">
        <v>135</v>
      </c>
      <c r="P44" t="s">
        <v>136</v>
      </c>
      <c r="Q44" t="s">
        <v>47</v>
      </c>
      <c r="R44" t="s">
        <v>76</v>
      </c>
      <c r="S44" t="s">
        <v>35</v>
      </c>
      <c r="T44" t="s">
        <v>36</v>
      </c>
      <c r="W44" t="s">
        <v>37</v>
      </c>
    </row>
    <row r="45" spans="1:23" x14ac:dyDescent="0.3">
      <c r="A45" t="s">
        <v>299</v>
      </c>
      <c r="B45" t="s">
        <v>118</v>
      </c>
      <c r="C45" t="s">
        <v>300</v>
      </c>
      <c r="D45" t="s">
        <v>26</v>
      </c>
      <c r="E45" t="s">
        <v>301</v>
      </c>
      <c r="F45" t="s">
        <v>79</v>
      </c>
      <c r="G45" t="s">
        <v>302</v>
      </c>
      <c r="H45">
        <v>1899</v>
      </c>
      <c r="I45">
        <v>1</v>
      </c>
      <c r="J45">
        <v>1899</v>
      </c>
      <c r="L45">
        <v>0</v>
      </c>
      <c r="M45" t="s">
        <v>70</v>
      </c>
      <c r="N45" t="s">
        <v>71</v>
      </c>
      <c r="O45" t="s">
        <v>156</v>
      </c>
      <c r="P45" t="s">
        <v>130</v>
      </c>
      <c r="Q45" t="s">
        <v>47</v>
      </c>
      <c r="R45" t="s">
        <v>248</v>
      </c>
      <c r="S45" t="s">
        <v>35</v>
      </c>
      <c r="T45" t="s">
        <v>49</v>
      </c>
      <c r="U45" t="s">
        <v>158</v>
      </c>
      <c r="V45" t="s">
        <v>274</v>
      </c>
      <c r="W45" t="s">
        <v>52</v>
      </c>
    </row>
    <row r="46" spans="1:23" x14ac:dyDescent="0.3">
      <c r="A46" t="s">
        <v>303</v>
      </c>
      <c r="B46" t="s">
        <v>118</v>
      </c>
      <c r="C46" t="s">
        <v>304</v>
      </c>
      <c r="D46" t="s">
        <v>26</v>
      </c>
      <c r="E46" t="s">
        <v>305</v>
      </c>
      <c r="F46" t="s">
        <v>58</v>
      </c>
      <c r="G46" t="s">
        <v>306</v>
      </c>
      <c r="H46">
        <v>1999</v>
      </c>
      <c r="I46">
        <v>1</v>
      </c>
      <c r="J46">
        <v>1999</v>
      </c>
      <c r="K46" t="s">
        <v>69</v>
      </c>
      <c r="L46">
        <v>15</v>
      </c>
      <c r="M46" t="s">
        <v>30</v>
      </c>
      <c r="N46" t="s">
        <v>46</v>
      </c>
      <c r="O46" t="s">
        <v>164</v>
      </c>
      <c r="P46" t="s">
        <v>165</v>
      </c>
      <c r="Q46" t="s">
        <v>47</v>
      </c>
      <c r="R46" t="s">
        <v>227</v>
      </c>
      <c r="S46" t="s">
        <v>35</v>
      </c>
      <c r="T46" t="s">
        <v>36</v>
      </c>
      <c r="W46" t="s">
        <v>37</v>
      </c>
    </row>
    <row r="47" spans="1:23" x14ac:dyDescent="0.3">
      <c r="A47" t="s">
        <v>307</v>
      </c>
      <c r="B47" t="s">
        <v>118</v>
      </c>
      <c r="C47" t="s">
        <v>308</v>
      </c>
      <c r="D47" t="s">
        <v>40</v>
      </c>
      <c r="E47" t="s">
        <v>309</v>
      </c>
      <c r="F47" t="s">
        <v>42</v>
      </c>
      <c r="G47" t="s">
        <v>310</v>
      </c>
      <c r="H47">
        <v>2599</v>
      </c>
      <c r="I47">
        <v>1</v>
      </c>
      <c r="J47">
        <v>2599</v>
      </c>
      <c r="L47">
        <v>0</v>
      </c>
      <c r="M47" t="s">
        <v>45</v>
      </c>
      <c r="N47" t="s">
        <v>31</v>
      </c>
      <c r="O47" t="s">
        <v>171</v>
      </c>
      <c r="P47" t="s">
        <v>172</v>
      </c>
      <c r="Q47" t="s">
        <v>32</v>
      </c>
      <c r="R47" t="s">
        <v>76</v>
      </c>
      <c r="S47" t="s">
        <v>35</v>
      </c>
      <c r="T47" t="s">
        <v>36</v>
      </c>
      <c r="W47" t="s">
        <v>37</v>
      </c>
    </row>
    <row r="48" spans="1:23" x14ac:dyDescent="0.3">
      <c r="A48" t="s">
        <v>311</v>
      </c>
      <c r="B48" t="s">
        <v>118</v>
      </c>
      <c r="C48" t="s">
        <v>312</v>
      </c>
      <c r="D48" t="s">
        <v>26</v>
      </c>
      <c r="E48" t="s">
        <v>313</v>
      </c>
      <c r="F48" t="s">
        <v>28</v>
      </c>
      <c r="G48" t="s">
        <v>314</v>
      </c>
      <c r="H48">
        <v>1299</v>
      </c>
      <c r="I48">
        <v>1</v>
      </c>
      <c r="J48">
        <v>1299</v>
      </c>
      <c r="L48">
        <v>0</v>
      </c>
      <c r="M48" t="s">
        <v>60</v>
      </c>
      <c r="N48" t="s">
        <v>71</v>
      </c>
      <c r="O48" t="s">
        <v>177</v>
      </c>
      <c r="P48" t="s">
        <v>109</v>
      </c>
      <c r="Q48" t="s">
        <v>32</v>
      </c>
      <c r="S48" t="s">
        <v>137</v>
      </c>
      <c r="T48" t="s">
        <v>36</v>
      </c>
      <c r="W48" t="s">
        <v>37</v>
      </c>
    </row>
    <row r="49" spans="1:23" x14ac:dyDescent="0.3">
      <c r="A49" t="s">
        <v>315</v>
      </c>
      <c r="B49" t="s">
        <v>151</v>
      </c>
      <c r="C49" t="s">
        <v>316</v>
      </c>
      <c r="D49" t="s">
        <v>26</v>
      </c>
      <c r="E49" t="s">
        <v>317</v>
      </c>
      <c r="F49" t="s">
        <v>67</v>
      </c>
      <c r="G49" t="s">
        <v>318</v>
      </c>
      <c r="H49">
        <v>5999</v>
      </c>
      <c r="I49">
        <v>1</v>
      </c>
      <c r="J49">
        <v>5999</v>
      </c>
      <c r="K49" t="s">
        <v>44</v>
      </c>
      <c r="L49">
        <v>20</v>
      </c>
      <c r="M49" t="s">
        <v>45</v>
      </c>
      <c r="N49" t="s">
        <v>46</v>
      </c>
      <c r="O49" t="s">
        <v>184</v>
      </c>
      <c r="P49" t="s">
        <v>185</v>
      </c>
      <c r="Q49" t="s">
        <v>47</v>
      </c>
      <c r="R49" t="s">
        <v>111</v>
      </c>
      <c r="S49" t="s">
        <v>35</v>
      </c>
      <c r="T49" t="s">
        <v>49</v>
      </c>
      <c r="U49" t="s">
        <v>50</v>
      </c>
      <c r="V49" t="s">
        <v>319</v>
      </c>
      <c r="W49" t="s">
        <v>52</v>
      </c>
    </row>
    <row r="50" spans="1:23" x14ac:dyDescent="0.3">
      <c r="A50" t="s">
        <v>320</v>
      </c>
      <c r="B50" t="s">
        <v>151</v>
      </c>
      <c r="C50" t="s">
        <v>321</v>
      </c>
      <c r="D50" t="s">
        <v>26</v>
      </c>
      <c r="E50" t="s">
        <v>322</v>
      </c>
      <c r="F50" t="s">
        <v>79</v>
      </c>
      <c r="G50" t="s">
        <v>323</v>
      </c>
      <c r="H50">
        <v>799</v>
      </c>
      <c r="I50">
        <v>2</v>
      </c>
      <c r="J50">
        <v>1598</v>
      </c>
      <c r="L50">
        <v>0</v>
      </c>
      <c r="M50" t="s">
        <v>30</v>
      </c>
      <c r="N50" t="s">
        <v>31</v>
      </c>
      <c r="O50" t="s">
        <v>190</v>
      </c>
      <c r="P50" t="s">
        <v>172</v>
      </c>
      <c r="Q50" t="s">
        <v>32</v>
      </c>
      <c r="R50" t="s">
        <v>76</v>
      </c>
      <c r="S50" t="s">
        <v>35</v>
      </c>
      <c r="T50" t="s">
        <v>36</v>
      </c>
      <c r="W50" t="s">
        <v>37</v>
      </c>
    </row>
    <row r="51" spans="1:23" x14ac:dyDescent="0.3">
      <c r="A51" t="s">
        <v>324</v>
      </c>
      <c r="B51" t="s">
        <v>151</v>
      </c>
      <c r="C51" t="s">
        <v>325</v>
      </c>
      <c r="D51" t="s">
        <v>40</v>
      </c>
      <c r="E51" t="s">
        <v>326</v>
      </c>
      <c r="F51" t="s">
        <v>58</v>
      </c>
      <c r="G51" t="s">
        <v>327</v>
      </c>
      <c r="H51">
        <v>999</v>
      </c>
      <c r="I51">
        <v>2</v>
      </c>
      <c r="J51">
        <v>1998</v>
      </c>
      <c r="L51">
        <v>0</v>
      </c>
      <c r="M51" t="s">
        <v>128</v>
      </c>
      <c r="N51" t="s">
        <v>46</v>
      </c>
      <c r="O51" t="s">
        <v>195</v>
      </c>
      <c r="P51" t="s">
        <v>33</v>
      </c>
      <c r="Q51" t="s">
        <v>32</v>
      </c>
      <c r="R51" t="s">
        <v>227</v>
      </c>
      <c r="S51" t="s">
        <v>35</v>
      </c>
      <c r="T51" t="s">
        <v>36</v>
      </c>
      <c r="W51" t="s">
        <v>37</v>
      </c>
    </row>
    <row r="52" spans="1:23" x14ac:dyDescent="0.3">
      <c r="A52" t="s">
        <v>328</v>
      </c>
      <c r="B52" t="s">
        <v>151</v>
      </c>
      <c r="C52" t="s">
        <v>329</v>
      </c>
      <c r="D52" t="s">
        <v>26</v>
      </c>
      <c r="E52" t="s">
        <v>330</v>
      </c>
      <c r="F52" t="s">
        <v>42</v>
      </c>
      <c r="G52" t="s">
        <v>331</v>
      </c>
      <c r="H52">
        <v>1899</v>
      </c>
      <c r="I52">
        <v>1</v>
      </c>
      <c r="J52">
        <v>1899</v>
      </c>
      <c r="L52">
        <v>0</v>
      </c>
      <c r="M52" t="s">
        <v>70</v>
      </c>
      <c r="N52" t="s">
        <v>71</v>
      </c>
      <c r="O52" t="s">
        <v>202</v>
      </c>
      <c r="P52" t="s">
        <v>73</v>
      </c>
      <c r="Q52" t="s">
        <v>61</v>
      </c>
      <c r="R52" t="s">
        <v>111</v>
      </c>
      <c r="S52" t="s">
        <v>35</v>
      </c>
      <c r="T52" t="s">
        <v>49</v>
      </c>
      <c r="U52" t="s">
        <v>75</v>
      </c>
      <c r="V52" t="s">
        <v>332</v>
      </c>
      <c r="W52" t="s">
        <v>52</v>
      </c>
    </row>
    <row r="53" spans="1:23" x14ac:dyDescent="0.3">
      <c r="A53" t="s">
        <v>333</v>
      </c>
      <c r="B53" t="s">
        <v>178</v>
      </c>
      <c r="C53" t="s">
        <v>334</v>
      </c>
      <c r="D53" t="s">
        <v>26</v>
      </c>
      <c r="E53" t="s">
        <v>335</v>
      </c>
      <c r="F53" t="s">
        <v>28</v>
      </c>
      <c r="G53" t="s">
        <v>336</v>
      </c>
      <c r="H53">
        <v>1699</v>
      </c>
      <c r="I53">
        <v>1</v>
      </c>
      <c r="J53">
        <v>1699</v>
      </c>
      <c r="K53" t="s">
        <v>127</v>
      </c>
      <c r="L53">
        <v>10</v>
      </c>
      <c r="M53" t="s">
        <v>45</v>
      </c>
      <c r="N53" t="s">
        <v>31</v>
      </c>
      <c r="O53" t="s">
        <v>208</v>
      </c>
      <c r="P53" t="s">
        <v>209</v>
      </c>
      <c r="Q53" t="s">
        <v>61</v>
      </c>
      <c r="R53" t="s">
        <v>248</v>
      </c>
      <c r="S53" t="s">
        <v>35</v>
      </c>
      <c r="T53" t="s">
        <v>36</v>
      </c>
      <c r="W53" t="s">
        <v>37</v>
      </c>
    </row>
    <row r="54" spans="1:23" x14ac:dyDescent="0.3">
      <c r="A54" t="s">
        <v>337</v>
      </c>
      <c r="B54" t="s">
        <v>178</v>
      </c>
      <c r="C54" t="s">
        <v>338</v>
      </c>
      <c r="D54" t="s">
        <v>26</v>
      </c>
      <c r="E54" t="s">
        <v>339</v>
      </c>
      <c r="F54" t="s">
        <v>67</v>
      </c>
      <c r="G54" t="s">
        <v>340</v>
      </c>
      <c r="H54">
        <v>3799</v>
      </c>
      <c r="I54">
        <v>1</v>
      </c>
      <c r="J54">
        <v>3799</v>
      </c>
      <c r="L54">
        <v>0</v>
      </c>
      <c r="M54" t="s">
        <v>30</v>
      </c>
      <c r="N54" t="s">
        <v>46</v>
      </c>
      <c r="O54" t="s">
        <v>215</v>
      </c>
      <c r="P54" t="s">
        <v>216</v>
      </c>
      <c r="Q54" t="s">
        <v>61</v>
      </c>
      <c r="R54" t="s">
        <v>341</v>
      </c>
      <c r="S54" t="s">
        <v>35</v>
      </c>
      <c r="T54" t="s">
        <v>49</v>
      </c>
      <c r="U54" t="s">
        <v>50</v>
      </c>
      <c r="V54" t="s">
        <v>342</v>
      </c>
      <c r="W54" t="s">
        <v>52</v>
      </c>
    </row>
    <row r="55" spans="1:23" x14ac:dyDescent="0.3">
      <c r="A55" t="s">
        <v>343</v>
      </c>
      <c r="B55" t="s">
        <v>178</v>
      </c>
      <c r="C55" t="s">
        <v>344</v>
      </c>
      <c r="D55" t="s">
        <v>40</v>
      </c>
      <c r="E55" t="s">
        <v>345</v>
      </c>
      <c r="F55" t="s">
        <v>79</v>
      </c>
      <c r="G55" t="s">
        <v>346</v>
      </c>
      <c r="H55">
        <v>1299</v>
      </c>
      <c r="I55">
        <v>1</v>
      </c>
      <c r="J55">
        <v>1299</v>
      </c>
      <c r="L55">
        <v>0</v>
      </c>
      <c r="M55" t="s">
        <v>60</v>
      </c>
      <c r="N55" t="s">
        <v>71</v>
      </c>
      <c r="O55" t="s">
        <v>221</v>
      </c>
      <c r="P55" t="s">
        <v>209</v>
      </c>
      <c r="Q55" t="s">
        <v>61</v>
      </c>
      <c r="R55" t="s">
        <v>111</v>
      </c>
      <c r="S55" t="s">
        <v>35</v>
      </c>
      <c r="T55" t="s">
        <v>36</v>
      </c>
      <c r="W55" t="s">
        <v>37</v>
      </c>
    </row>
    <row r="56" spans="1:23" x14ac:dyDescent="0.3">
      <c r="A56" t="s">
        <v>347</v>
      </c>
      <c r="B56" t="s">
        <v>178</v>
      </c>
      <c r="C56" t="s">
        <v>348</v>
      </c>
      <c r="D56" t="s">
        <v>26</v>
      </c>
      <c r="E56" t="s">
        <v>349</v>
      </c>
      <c r="F56" t="s">
        <v>58</v>
      </c>
      <c r="G56" t="s">
        <v>350</v>
      </c>
      <c r="H56">
        <v>2099</v>
      </c>
      <c r="I56">
        <v>1</v>
      </c>
      <c r="J56">
        <v>2099</v>
      </c>
      <c r="K56" t="s">
        <v>44</v>
      </c>
      <c r="L56">
        <v>20</v>
      </c>
      <c r="M56" t="s">
        <v>45</v>
      </c>
      <c r="N56" t="s">
        <v>31</v>
      </c>
      <c r="O56" t="s">
        <v>226</v>
      </c>
      <c r="P56" t="s">
        <v>62</v>
      </c>
      <c r="Q56" t="s">
        <v>61</v>
      </c>
      <c r="R56" t="s">
        <v>351</v>
      </c>
      <c r="S56" t="s">
        <v>35</v>
      </c>
      <c r="T56" t="s">
        <v>36</v>
      </c>
      <c r="W56" t="s">
        <v>37</v>
      </c>
    </row>
    <row r="57" spans="1:23" x14ac:dyDescent="0.3">
      <c r="A57" t="s">
        <v>352</v>
      </c>
      <c r="B57" t="s">
        <v>157</v>
      </c>
      <c r="C57" t="s">
        <v>353</v>
      </c>
      <c r="D57" t="s">
        <v>26</v>
      </c>
      <c r="E57" t="s">
        <v>354</v>
      </c>
      <c r="F57" t="s">
        <v>42</v>
      </c>
      <c r="G57" t="s">
        <v>355</v>
      </c>
      <c r="H57">
        <v>2799</v>
      </c>
      <c r="I57">
        <v>1</v>
      </c>
      <c r="J57">
        <v>2799</v>
      </c>
      <c r="L57">
        <v>0</v>
      </c>
      <c r="M57" t="s">
        <v>70</v>
      </c>
      <c r="N57" t="s">
        <v>46</v>
      </c>
      <c r="O57" t="s">
        <v>233</v>
      </c>
      <c r="P57" t="s">
        <v>109</v>
      </c>
      <c r="Q57" t="s">
        <v>32</v>
      </c>
      <c r="R57" t="s">
        <v>341</v>
      </c>
      <c r="S57" t="s">
        <v>35</v>
      </c>
      <c r="T57" t="s">
        <v>49</v>
      </c>
      <c r="U57" t="s">
        <v>89</v>
      </c>
      <c r="V57" t="s">
        <v>356</v>
      </c>
      <c r="W57" t="s">
        <v>52</v>
      </c>
    </row>
    <row r="58" spans="1:23" x14ac:dyDescent="0.3">
      <c r="A58" t="s">
        <v>357</v>
      </c>
      <c r="B58" t="s">
        <v>157</v>
      </c>
      <c r="C58" t="s">
        <v>358</v>
      </c>
      <c r="D58" t="s">
        <v>26</v>
      </c>
      <c r="E58" t="s">
        <v>359</v>
      </c>
      <c r="F58" t="s">
        <v>28</v>
      </c>
      <c r="G58" t="s">
        <v>360</v>
      </c>
      <c r="H58">
        <v>1499</v>
      </c>
      <c r="I58">
        <v>1</v>
      </c>
      <c r="J58">
        <v>1499</v>
      </c>
      <c r="L58">
        <v>0</v>
      </c>
      <c r="M58" t="s">
        <v>128</v>
      </c>
      <c r="N58" t="s">
        <v>31</v>
      </c>
      <c r="O58" t="s">
        <v>238</v>
      </c>
      <c r="P58" t="s">
        <v>109</v>
      </c>
      <c r="Q58" t="s">
        <v>32</v>
      </c>
      <c r="R58" t="s">
        <v>111</v>
      </c>
      <c r="S58" t="s">
        <v>35</v>
      </c>
      <c r="T58" t="s">
        <v>36</v>
      </c>
      <c r="W58" t="s">
        <v>37</v>
      </c>
    </row>
    <row r="59" spans="1:23" x14ac:dyDescent="0.3">
      <c r="A59" t="s">
        <v>361</v>
      </c>
      <c r="B59" t="s">
        <v>157</v>
      </c>
      <c r="C59" t="s">
        <v>362</v>
      </c>
      <c r="D59" t="s">
        <v>40</v>
      </c>
      <c r="E59" t="s">
        <v>363</v>
      </c>
      <c r="F59" t="s">
        <v>67</v>
      </c>
      <c r="G59" t="s">
        <v>364</v>
      </c>
      <c r="H59">
        <v>4499</v>
      </c>
      <c r="I59">
        <v>1</v>
      </c>
      <c r="J59">
        <v>4499</v>
      </c>
      <c r="K59" t="s">
        <v>69</v>
      </c>
      <c r="L59">
        <v>15</v>
      </c>
      <c r="M59" t="s">
        <v>30</v>
      </c>
      <c r="N59" t="s">
        <v>71</v>
      </c>
      <c r="O59" t="s">
        <v>243</v>
      </c>
      <c r="P59" t="s">
        <v>130</v>
      </c>
      <c r="Q59" t="s">
        <v>47</v>
      </c>
      <c r="R59" t="s">
        <v>120</v>
      </c>
      <c r="S59" t="s">
        <v>35</v>
      </c>
      <c r="T59" t="s">
        <v>49</v>
      </c>
      <c r="U59" t="s">
        <v>119</v>
      </c>
      <c r="V59" t="s">
        <v>365</v>
      </c>
      <c r="W59" t="s">
        <v>52</v>
      </c>
    </row>
    <row r="60" spans="1:23" x14ac:dyDescent="0.3">
      <c r="A60" t="s">
        <v>366</v>
      </c>
      <c r="B60" t="s">
        <v>157</v>
      </c>
      <c r="C60" t="s">
        <v>367</v>
      </c>
      <c r="D60" t="s">
        <v>26</v>
      </c>
      <c r="E60" t="s">
        <v>368</v>
      </c>
      <c r="F60" t="s">
        <v>79</v>
      </c>
      <c r="G60" t="s">
        <v>369</v>
      </c>
      <c r="H60">
        <v>899</v>
      </c>
      <c r="I60">
        <v>1</v>
      </c>
      <c r="J60">
        <v>899</v>
      </c>
      <c r="L60">
        <v>0</v>
      </c>
      <c r="M60" t="s">
        <v>45</v>
      </c>
      <c r="N60" t="s">
        <v>46</v>
      </c>
      <c r="O60" t="s">
        <v>32</v>
      </c>
      <c r="P60" t="s">
        <v>33</v>
      </c>
      <c r="Q60" t="s">
        <v>32</v>
      </c>
      <c r="R60" t="s">
        <v>341</v>
      </c>
      <c r="S60" t="s">
        <v>35</v>
      </c>
      <c r="T60" t="s">
        <v>36</v>
      </c>
      <c r="W60" t="s">
        <v>37</v>
      </c>
    </row>
    <row r="61" spans="1:23" x14ac:dyDescent="0.3">
      <c r="A61" t="s">
        <v>370</v>
      </c>
      <c r="B61" t="s">
        <v>51</v>
      </c>
      <c r="C61" t="s">
        <v>371</v>
      </c>
      <c r="D61" t="s">
        <v>26</v>
      </c>
      <c r="E61" t="s">
        <v>372</v>
      </c>
      <c r="F61" t="s">
        <v>58</v>
      </c>
      <c r="G61" t="s">
        <v>373</v>
      </c>
      <c r="H61">
        <v>1799</v>
      </c>
      <c r="I61">
        <v>1</v>
      </c>
      <c r="J61">
        <v>1799</v>
      </c>
      <c r="L61">
        <v>0</v>
      </c>
      <c r="M61" t="s">
        <v>60</v>
      </c>
      <c r="N61" t="s">
        <v>31</v>
      </c>
      <c r="O61" t="s">
        <v>47</v>
      </c>
      <c r="P61" t="s">
        <v>47</v>
      </c>
      <c r="Q61" t="s">
        <v>47</v>
      </c>
      <c r="S61" t="s">
        <v>137</v>
      </c>
      <c r="T61" t="s">
        <v>36</v>
      </c>
      <c r="W61" t="s">
        <v>37</v>
      </c>
    </row>
    <row r="62" spans="1:23" x14ac:dyDescent="0.3">
      <c r="A62" t="s">
        <v>374</v>
      </c>
      <c r="B62" t="s">
        <v>51</v>
      </c>
      <c r="C62" t="s">
        <v>375</v>
      </c>
      <c r="D62" t="s">
        <v>26</v>
      </c>
      <c r="E62" t="s">
        <v>376</v>
      </c>
      <c r="F62" t="s">
        <v>42</v>
      </c>
      <c r="G62" t="s">
        <v>377</v>
      </c>
      <c r="H62">
        <v>2199</v>
      </c>
      <c r="I62">
        <v>1</v>
      </c>
      <c r="J62">
        <v>2199</v>
      </c>
      <c r="K62" t="s">
        <v>44</v>
      </c>
      <c r="L62">
        <v>20</v>
      </c>
      <c r="M62" t="s">
        <v>70</v>
      </c>
      <c r="N62" t="s">
        <v>71</v>
      </c>
      <c r="O62" t="s">
        <v>101</v>
      </c>
      <c r="P62" t="s">
        <v>102</v>
      </c>
      <c r="Q62" t="s">
        <v>47</v>
      </c>
      <c r="R62" t="s">
        <v>159</v>
      </c>
      <c r="S62" t="s">
        <v>35</v>
      </c>
      <c r="T62" t="s">
        <v>49</v>
      </c>
      <c r="U62" t="s">
        <v>50</v>
      </c>
      <c r="V62" t="s">
        <v>378</v>
      </c>
      <c r="W62" t="s">
        <v>52</v>
      </c>
    </row>
    <row r="63" spans="1:23" x14ac:dyDescent="0.3">
      <c r="A63" t="s">
        <v>379</v>
      </c>
      <c r="B63" t="s">
        <v>51</v>
      </c>
      <c r="C63" t="s">
        <v>380</v>
      </c>
      <c r="D63" t="s">
        <v>40</v>
      </c>
      <c r="E63" t="s">
        <v>381</v>
      </c>
      <c r="F63" t="s">
        <v>28</v>
      </c>
      <c r="G63" t="s">
        <v>382</v>
      </c>
      <c r="H63">
        <v>1399</v>
      </c>
      <c r="I63">
        <v>1</v>
      </c>
      <c r="J63">
        <v>1399</v>
      </c>
      <c r="L63">
        <v>0</v>
      </c>
      <c r="M63" t="s">
        <v>30</v>
      </c>
      <c r="N63" t="s">
        <v>46</v>
      </c>
      <c r="O63" t="s">
        <v>72</v>
      </c>
      <c r="P63" t="s">
        <v>73</v>
      </c>
      <c r="Q63" t="s">
        <v>61</v>
      </c>
      <c r="R63" t="s">
        <v>351</v>
      </c>
      <c r="S63" t="s">
        <v>35</v>
      </c>
      <c r="T63" t="s">
        <v>36</v>
      </c>
      <c r="W63" t="s">
        <v>37</v>
      </c>
    </row>
    <row r="64" spans="1:23" x14ac:dyDescent="0.3">
      <c r="A64" t="s">
        <v>383</v>
      </c>
      <c r="B64" t="s">
        <v>51</v>
      </c>
      <c r="C64" t="s">
        <v>384</v>
      </c>
      <c r="D64" t="s">
        <v>26</v>
      </c>
      <c r="E64" t="s">
        <v>385</v>
      </c>
      <c r="F64" t="s">
        <v>67</v>
      </c>
      <c r="G64" t="s">
        <v>386</v>
      </c>
      <c r="H64">
        <v>2999</v>
      </c>
      <c r="I64">
        <v>1</v>
      </c>
      <c r="J64">
        <v>2999</v>
      </c>
      <c r="L64">
        <v>0</v>
      </c>
      <c r="M64" t="s">
        <v>45</v>
      </c>
      <c r="N64" t="s">
        <v>31</v>
      </c>
      <c r="O64" t="s">
        <v>86</v>
      </c>
      <c r="P64" t="s">
        <v>87</v>
      </c>
      <c r="Q64" t="s">
        <v>61</v>
      </c>
      <c r="R64" t="s">
        <v>387</v>
      </c>
      <c r="S64" t="s">
        <v>35</v>
      </c>
      <c r="T64" t="s">
        <v>49</v>
      </c>
      <c r="U64" t="s">
        <v>75</v>
      </c>
      <c r="V64" t="s">
        <v>388</v>
      </c>
      <c r="W64" t="s">
        <v>52</v>
      </c>
    </row>
    <row r="65" spans="1:23" x14ac:dyDescent="0.3">
      <c r="A65" t="s">
        <v>389</v>
      </c>
      <c r="B65" t="s">
        <v>196</v>
      </c>
      <c r="C65" t="s">
        <v>390</v>
      </c>
      <c r="D65" t="s">
        <v>26</v>
      </c>
      <c r="E65" t="s">
        <v>391</v>
      </c>
      <c r="F65" t="s">
        <v>79</v>
      </c>
      <c r="G65" t="s">
        <v>392</v>
      </c>
      <c r="H65">
        <v>699</v>
      </c>
      <c r="I65">
        <v>2</v>
      </c>
      <c r="J65">
        <v>1398</v>
      </c>
      <c r="K65" t="s">
        <v>127</v>
      </c>
      <c r="L65">
        <v>10</v>
      </c>
      <c r="M65" t="s">
        <v>128</v>
      </c>
      <c r="N65" t="s">
        <v>71</v>
      </c>
      <c r="O65" t="s">
        <v>95</v>
      </c>
      <c r="P65" t="s">
        <v>33</v>
      </c>
      <c r="Q65" t="s">
        <v>32</v>
      </c>
      <c r="R65" t="s">
        <v>120</v>
      </c>
      <c r="S65" t="s">
        <v>35</v>
      </c>
      <c r="T65" t="s">
        <v>36</v>
      </c>
      <c r="W65" t="s">
        <v>37</v>
      </c>
    </row>
    <row r="66" spans="1:23" x14ac:dyDescent="0.3">
      <c r="A66" t="s">
        <v>393</v>
      </c>
      <c r="B66" t="s">
        <v>196</v>
      </c>
      <c r="C66" t="s">
        <v>394</v>
      </c>
      <c r="D66" t="s">
        <v>26</v>
      </c>
      <c r="E66" t="s">
        <v>395</v>
      </c>
      <c r="F66" t="s">
        <v>58</v>
      </c>
      <c r="G66" t="s">
        <v>396</v>
      </c>
      <c r="H66">
        <v>2199</v>
      </c>
      <c r="I66">
        <v>1</v>
      </c>
      <c r="J66">
        <v>2199</v>
      </c>
      <c r="L66">
        <v>0</v>
      </c>
      <c r="M66" t="s">
        <v>60</v>
      </c>
      <c r="N66" t="s">
        <v>46</v>
      </c>
      <c r="O66" t="s">
        <v>108</v>
      </c>
      <c r="P66" t="s">
        <v>109</v>
      </c>
      <c r="Q66" t="s">
        <v>32</v>
      </c>
      <c r="R66" t="s">
        <v>146</v>
      </c>
      <c r="S66" t="s">
        <v>35</v>
      </c>
      <c r="T66" t="s">
        <v>49</v>
      </c>
      <c r="U66" t="s">
        <v>50</v>
      </c>
      <c r="V66" t="s">
        <v>397</v>
      </c>
      <c r="W66" t="s">
        <v>52</v>
      </c>
    </row>
    <row r="67" spans="1:23" x14ac:dyDescent="0.3">
      <c r="A67" t="s">
        <v>398</v>
      </c>
      <c r="B67" t="s">
        <v>196</v>
      </c>
      <c r="C67" t="s">
        <v>399</v>
      </c>
      <c r="D67" t="s">
        <v>40</v>
      </c>
      <c r="E67" t="s">
        <v>400</v>
      </c>
      <c r="F67" t="s">
        <v>42</v>
      </c>
      <c r="G67" t="s">
        <v>401</v>
      </c>
      <c r="H67">
        <v>2499</v>
      </c>
      <c r="I67">
        <v>1</v>
      </c>
      <c r="J67">
        <v>2499</v>
      </c>
      <c r="L67">
        <v>0</v>
      </c>
      <c r="M67" t="s">
        <v>45</v>
      </c>
      <c r="N67" t="s">
        <v>31</v>
      </c>
      <c r="O67" t="s">
        <v>116</v>
      </c>
      <c r="P67" t="s">
        <v>117</v>
      </c>
      <c r="Q67" t="s">
        <v>47</v>
      </c>
      <c r="R67" t="s">
        <v>159</v>
      </c>
      <c r="S67" t="s">
        <v>35</v>
      </c>
      <c r="T67" t="s">
        <v>36</v>
      </c>
      <c r="W67" t="s">
        <v>37</v>
      </c>
    </row>
    <row r="68" spans="1:23" x14ac:dyDescent="0.3">
      <c r="A68" t="s">
        <v>402</v>
      </c>
      <c r="B68" t="s">
        <v>196</v>
      </c>
      <c r="C68" t="s">
        <v>403</v>
      </c>
      <c r="D68" t="s">
        <v>26</v>
      </c>
      <c r="E68" t="s">
        <v>404</v>
      </c>
      <c r="F68" t="s">
        <v>28</v>
      </c>
      <c r="G68" t="s">
        <v>405</v>
      </c>
      <c r="H68">
        <v>1899</v>
      </c>
      <c r="I68">
        <v>1</v>
      </c>
      <c r="J68">
        <v>1899</v>
      </c>
      <c r="K68" t="s">
        <v>44</v>
      </c>
      <c r="L68">
        <v>20</v>
      </c>
      <c r="M68" t="s">
        <v>30</v>
      </c>
      <c r="N68" t="s">
        <v>71</v>
      </c>
      <c r="O68" t="s">
        <v>129</v>
      </c>
      <c r="P68" t="s">
        <v>130</v>
      </c>
      <c r="Q68" t="s">
        <v>47</v>
      </c>
      <c r="R68" t="s">
        <v>387</v>
      </c>
      <c r="S68" t="s">
        <v>35</v>
      </c>
      <c r="T68" t="s">
        <v>49</v>
      </c>
      <c r="U68" t="s">
        <v>89</v>
      </c>
      <c r="V68" t="s">
        <v>365</v>
      </c>
      <c r="W68" t="s">
        <v>52</v>
      </c>
    </row>
    <row r="69" spans="1:23" x14ac:dyDescent="0.3">
      <c r="A69" t="s">
        <v>406</v>
      </c>
      <c r="B69" t="s">
        <v>203</v>
      </c>
      <c r="C69" t="s">
        <v>407</v>
      </c>
      <c r="D69" t="s">
        <v>26</v>
      </c>
      <c r="E69" t="s">
        <v>408</v>
      </c>
      <c r="F69" t="s">
        <v>67</v>
      </c>
      <c r="G69" t="s">
        <v>409</v>
      </c>
      <c r="H69">
        <v>1299</v>
      </c>
      <c r="I69">
        <v>1</v>
      </c>
      <c r="J69">
        <v>1299</v>
      </c>
      <c r="L69">
        <v>0</v>
      </c>
      <c r="M69" t="s">
        <v>70</v>
      </c>
      <c r="N69" t="s">
        <v>46</v>
      </c>
      <c r="O69" t="s">
        <v>61</v>
      </c>
      <c r="P69" t="s">
        <v>62</v>
      </c>
      <c r="Q69" t="s">
        <v>61</v>
      </c>
      <c r="R69" t="s">
        <v>146</v>
      </c>
      <c r="S69" t="s">
        <v>35</v>
      </c>
      <c r="T69" t="s">
        <v>36</v>
      </c>
      <c r="W69" t="s">
        <v>37</v>
      </c>
    </row>
    <row r="70" spans="1:23" x14ac:dyDescent="0.3">
      <c r="A70" t="s">
        <v>410</v>
      </c>
      <c r="B70" t="s">
        <v>203</v>
      </c>
      <c r="C70" t="s">
        <v>411</v>
      </c>
      <c r="D70" t="s">
        <v>26</v>
      </c>
      <c r="E70" t="s">
        <v>412</v>
      </c>
      <c r="F70" t="s">
        <v>79</v>
      </c>
      <c r="G70" t="s">
        <v>413</v>
      </c>
      <c r="H70">
        <v>1599</v>
      </c>
      <c r="I70">
        <v>1</v>
      </c>
      <c r="J70">
        <v>1599</v>
      </c>
      <c r="L70">
        <v>0</v>
      </c>
      <c r="M70" t="s">
        <v>45</v>
      </c>
      <c r="N70" t="s">
        <v>31</v>
      </c>
      <c r="O70" t="s">
        <v>32</v>
      </c>
      <c r="P70" t="s">
        <v>33</v>
      </c>
      <c r="Q70" t="s">
        <v>32</v>
      </c>
      <c r="R70" t="s">
        <v>387</v>
      </c>
      <c r="S70" t="s">
        <v>35</v>
      </c>
      <c r="T70" t="s">
        <v>49</v>
      </c>
      <c r="U70" t="s">
        <v>158</v>
      </c>
      <c r="V70" t="s">
        <v>378</v>
      </c>
      <c r="W70" t="s">
        <v>52</v>
      </c>
    </row>
    <row r="71" spans="1:23" x14ac:dyDescent="0.3">
      <c r="A71" t="s">
        <v>414</v>
      </c>
      <c r="B71" t="s">
        <v>203</v>
      </c>
      <c r="C71" t="s">
        <v>415</v>
      </c>
      <c r="D71" t="s">
        <v>40</v>
      </c>
      <c r="E71" t="s">
        <v>416</v>
      </c>
      <c r="F71" t="s">
        <v>58</v>
      </c>
      <c r="G71" t="s">
        <v>417</v>
      </c>
      <c r="H71">
        <v>2099</v>
      </c>
      <c r="I71">
        <v>1</v>
      </c>
      <c r="J71">
        <v>2099</v>
      </c>
      <c r="K71" t="s">
        <v>69</v>
      </c>
      <c r="L71">
        <v>15</v>
      </c>
      <c r="M71" t="s">
        <v>30</v>
      </c>
      <c r="N71" t="s">
        <v>71</v>
      </c>
      <c r="O71" t="s">
        <v>47</v>
      </c>
      <c r="P71" t="s">
        <v>47</v>
      </c>
      <c r="Q71" t="s">
        <v>47</v>
      </c>
      <c r="R71" t="s">
        <v>418</v>
      </c>
      <c r="S71" t="s">
        <v>35</v>
      </c>
      <c r="T71" t="s">
        <v>36</v>
      </c>
      <c r="W71" t="s">
        <v>37</v>
      </c>
    </row>
    <row r="72" spans="1:23" x14ac:dyDescent="0.3">
      <c r="A72" t="s">
        <v>419</v>
      </c>
      <c r="B72" t="s">
        <v>203</v>
      </c>
      <c r="C72" t="s">
        <v>420</v>
      </c>
      <c r="D72" t="s">
        <v>26</v>
      </c>
      <c r="E72" t="s">
        <v>421</v>
      </c>
      <c r="F72" t="s">
        <v>42</v>
      </c>
      <c r="G72" t="s">
        <v>422</v>
      </c>
      <c r="H72">
        <v>2299</v>
      </c>
      <c r="I72">
        <v>1</v>
      </c>
      <c r="J72">
        <v>2299</v>
      </c>
      <c r="L72">
        <v>0</v>
      </c>
      <c r="M72" t="s">
        <v>60</v>
      </c>
      <c r="N72" t="s">
        <v>46</v>
      </c>
      <c r="O72" t="s">
        <v>135</v>
      </c>
      <c r="P72" t="s">
        <v>136</v>
      </c>
      <c r="Q72" t="s">
        <v>47</v>
      </c>
      <c r="S72" t="s">
        <v>137</v>
      </c>
      <c r="T72" t="s">
        <v>36</v>
      </c>
      <c r="W72" t="s">
        <v>37</v>
      </c>
    </row>
    <row r="73" spans="1:23" x14ac:dyDescent="0.3">
      <c r="A73" t="s">
        <v>423</v>
      </c>
      <c r="B73" t="s">
        <v>90</v>
      </c>
      <c r="C73" t="s">
        <v>424</v>
      </c>
      <c r="D73" t="s">
        <v>26</v>
      </c>
      <c r="E73" t="s">
        <v>425</v>
      </c>
      <c r="F73" t="s">
        <v>28</v>
      </c>
      <c r="G73" t="s">
        <v>426</v>
      </c>
      <c r="H73">
        <v>1199</v>
      </c>
      <c r="I73">
        <v>2</v>
      </c>
      <c r="J73">
        <v>2398</v>
      </c>
      <c r="L73">
        <v>0</v>
      </c>
      <c r="M73" t="s">
        <v>128</v>
      </c>
      <c r="N73" t="s">
        <v>31</v>
      </c>
      <c r="O73" t="s">
        <v>156</v>
      </c>
      <c r="P73" t="s">
        <v>130</v>
      </c>
      <c r="Q73" t="s">
        <v>47</v>
      </c>
      <c r="R73" t="s">
        <v>146</v>
      </c>
      <c r="S73" t="s">
        <v>35</v>
      </c>
      <c r="T73" t="s">
        <v>36</v>
      </c>
      <c r="W73" t="s">
        <v>37</v>
      </c>
    </row>
    <row r="74" spans="1:23" x14ac:dyDescent="0.3">
      <c r="A74" t="s">
        <v>427</v>
      </c>
      <c r="B74" t="s">
        <v>90</v>
      </c>
      <c r="C74" t="s">
        <v>428</v>
      </c>
      <c r="D74" t="s">
        <v>26</v>
      </c>
      <c r="E74" t="s">
        <v>429</v>
      </c>
      <c r="F74" t="s">
        <v>67</v>
      </c>
      <c r="G74" t="s">
        <v>430</v>
      </c>
      <c r="H74">
        <v>2599</v>
      </c>
      <c r="I74">
        <v>1</v>
      </c>
      <c r="J74">
        <v>2599</v>
      </c>
      <c r="K74" t="s">
        <v>44</v>
      </c>
      <c r="L74">
        <v>20</v>
      </c>
      <c r="M74" t="s">
        <v>45</v>
      </c>
      <c r="N74" t="s">
        <v>71</v>
      </c>
      <c r="O74" t="s">
        <v>164</v>
      </c>
      <c r="P74" t="s">
        <v>165</v>
      </c>
      <c r="Q74" t="s">
        <v>47</v>
      </c>
      <c r="R74" t="s">
        <v>179</v>
      </c>
      <c r="S74" t="s">
        <v>35</v>
      </c>
      <c r="T74" t="s">
        <v>49</v>
      </c>
      <c r="U74" t="s">
        <v>50</v>
      </c>
      <c r="V74" t="s">
        <v>431</v>
      </c>
      <c r="W74" t="s">
        <v>52</v>
      </c>
    </row>
    <row r="75" spans="1:23" x14ac:dyDescent="0.3">
      <c r="A75" t="s">
        <v>432</v>
      </c>
      <c r="B75" t="s">
        <v>90</v>
      </c>
      <c r="C75" t="s">
        <v>433</v>
      </c>
      <c r="D75" t="s">
        <v>40</v>
      </c>
      <c r="E75" t="s">
        <v>434</v>
      </c>
      <c r="F75" t="s">
        <v>79</v>
      </c>
      <c r="G75" t="s">
        <v>435</v>
      </c>
      <c r="H75">
        <v>299</v>
      </c>
      <c r="I75">
        <v>5</v>
      </c>
      <c r="J75">
        <v>1495</v>
      </c>
      <c r="L75">
        <v>0</v>
      </c>
      <c r="M75" t="s">
        <v>30</v>
      </c>
      <c r="N75" t="s">
        <v>46</v>
      </c>
      <c r="O75" t="s">
        <v>171</v>
      </c>
      <c r="P75" t="s">
        <v>172</v>
      </c>
      <c r="Q75" t="s">
        <v>32</v>
      </c>
      <c r="R75" t="s">
        <v>387</v>
      </c>
      <c r="S75" t="s">
        <v>35</v>
      </c>
      <c r="T75" t="s">
        <v>36</v>
      </c>
      <c r="W75" t="s">
        <v>37</v>
      </c>
    </row>
    <row r="76" spans="1:23" x14ac:dyDescent="0.3">
      <c r="A76" t="s">
        <v>436</v>
      </c>
      <c r="B76" t="s">
        <v>90</v>
      </c>
      <c r="C76" t="s">
        <v>437</v>
      </c>
      <c r="D76" t="s">
        <v>26</v>
      </c>
      <c r="E76" t="s">
        <v>438</v>
      </c>
      <c r="F76" t="s">
        <v>58</v>
      </c>
      <c r="G76" t="s">
        <v>439</v>
      </c>
      <c r="H76">
        <v>1899</v>
      </c>
      <c r="I76">
        <v>1</v>
      </c>
      <c r="J76">
        <v>1899</v>
      </c>
      <c r="L76">
        <v>0</v>
      </c>
      <c r="M76" t="s">
        <v>70</v>
      </c>
      <c r="N76" t="s">
        <v>31</v>
      </c>
      <c r="O76" t="s">
        <v>177</v>
      </c>
      <c r="P76" t="s">
        <v>109</v>
      </c>
      <c r="Q76" t="s">
        <v>32</v>
      </c>
      <c r="R76" t="s">
        <v>179</v>
      </c>
      <c r="S76" t="s">
        <v>35</v>
      </c>
      <c r="T76" t="s">
        <v>49</v>
      </c>
      <c r="U76" t="s">
        <v>119</v>
      </c>
      <c r="V76" t="s">
        <v>440</v>
      </c>
      <c r="W76" t="s">
        <v>52</v>
      </c>
    </row>
    <row r="77" spans="1:23" x14ac:dyDescent="0.3">
      <c r="A77" t="s">
        <v>441</v>
      </c>
      <c r="B77" t="s">
        <v>227</v>
      </c>
      <c r="C77" t="s">
        <v>442</v>
      </c>
      <c r="D77" t="s">
        <v>26</v>
      </c>
      <c r="E77" t="s">
        <v>443</v>
      </c>
      <c r="F77" t="s">
        <v>42</v>
      </c>
      <c r="G77" t="s">
        <v>444</v>
      </c>
      <c r="H77">
        <v>2199</v>
      </c>
      <c r="I77">
        <v>1</v>
      </c>
      <c r="J77">
        <v>2199</v>
      </c>
      <c r="L77">
        <v>0</v>
      </c>
      <c r="M77" t="s">
        <v>45</v>
      </c>
      <c r="N77" t="s">
        <v>71</v>
      </c>
      <c r="O77" t="s">
        <v>184</v>
      </c>
      <c r="P77" t="s">
        <v>185</v>
      </c>
      <c r="Q77" t="s">
        <v>47</v>
      </c>
      <c r="R77" t="s">
        <v>445</v>
      </c>
      <c r="S77" t="s">
        <v>35</v>
      </c>
      <c r="T77" t="s">
        <v>36</v>
      </c>
      <c r="W77" t="s">
        <v>37</v>
      </c>
    </row>
    <row r="78" spans="1:23" x14ac:dyDescent="0.3">
      <c r="A78" t="s">
        <v>446</v>
      </c>
      <c r="B78" t="s">
        <v>227</v>
      </c>
      <c r="C78" t="s">
        <v>447</v>
      </c>
      <c r="D78" t="s">
        <v>26</v>
      </c>
      <c r="E78" t="s">
        <v>448</v>
      </c>
      <c r="F78" t="s">
        <v>28</v>
      </c>
      <c r="G78" t="s">
        <v>449</v>
      </c>
      <c r="H78">
        <v>1799</v>
      </c>
      <c r="I78">
        <v>1</v>
      </c>
      <c r="J78">
        <v>1799</v>
      </c>
      <c r="K78" t="s">
        <v>127</v>
      </c>
      <c r="L78">
        <v>10</v>
      </c>
      <c r="M78" t="s">
        <v>60</v>
      </c>
      <c r="N78" t="s">
        <v>46</v>
      </c>
      <c r="O78" t="s">
        <v>190</v>
      </c>
      <c r="P78" t="s">
        <v>172</v>
      </c>
      <c r="Q78" t="s">
        <v>32</v>
      </c>
      <c r="R78" t="s">
        <v>418</v>
      </c>
      <c r="S78" t="s">
        <v>35</v>
      </c>
      <c r="T78" t="s">
        <v>49</v>
      </c>
      <c r="U78" t="s">
        <v>75</v>
      </c>
      <c r="V78" t="s">
        <v>397</v>
      </c>
      <c r="W78" t="s">
        <v>52</v>
      </c>
    </row>
    <row r="79" spans="1:23" x14ac:dyDescent="0.3">
      <c r="A79" t="s">
        <v>450</v>
      </c>
      <c r="B79" t="s">
        <v>227</v>
      </c>
      <c r="C79" t="s">
        <v>451</v>
      </c>
      <c r="D79" t="s">
        <v>40</v>
      </c>
      <c r="E79" t="s">
        <v>452</v>
      </c>
      <c r="F79" t="s">
        <v>67</v>
      </c>
      <c r="G79" t="s">
        <v>453</v>
      </c>
      <c r="H79">
        <v>4999</v>
      </c>
      <c r="I79">
        <v>1</v>
      </c>
      <c r="J79">
        <v>4999</v>
      </c>
      <c r="L79">
        <v>0</v>
      </c>
      <c r="M79" t="s">
        <v>30</v>
      </c>
      <c r="N79" t="s">
        <v>31</v>
      </c>
      <c r="O79" t="s">
        <v>195</v>
      </c>
      <c r="P79" t="s">
        <v>33</v>
      </c>
      <c r="Q79" t="s">
        <v>32</v>
      </c>
      <c r="R79" t="s">
        <v>454</v>
      </c>
      <c r="S79" t="s">
        <v>35</v>
      </c>
      <c r="T79" t="s">
        <v>36</v>
      </c>
      <c r="W79" t="s">
        <v>37</v>
      </c>
    </row>
    <row r="80" spans="1:23" x14ac:dyDescent="0.3">
      <c r="A80" t="s">
        <v>455</v>
      </c>
      <c r="B80" t="s">
        <v>227</v>
      </c>
      <c r="C80" t="s">
        <v>456</v>
      </c>
      <c r="D80" t="s">
        <v>26</v>
      </c>
      <c r="E80" t="s">
        <v>457</v>
      </c>
      <c r="F80" t="s">
        <v>79</v>
      </c>
      <c r="G80" t="s">
        <v>458</v>
      </c>
      <c r="H80">
        <v>999</v>
      </c>
      <c r="I80">
        <v>1</v>
      </c>
      <c r="J80">
        <v>999</v>
      </c>
      <c r="L80">
        <v>0</v>
      </c>
      <c r="M80" t="s">
        <v>128</v>
      </c>
      <c r="N80" t="s">
        <v>71</v>
      </c>
      <c r="O80" t="s">
        <v>202</v>
      </c>
      <c r="P80" t="s">
        <v>73</v>
      </c>
      <c r="Q80" t="s">
        <v>61</v>
      </c>
      <c r="R80" t="s">
        <v>179</v>
      </c>
      <c r="S80" t="s">
        <v>35</v>
      </c>
      <c r="T80" t="s">
        <v>49</v>
      </c>
      <c r="U80" t="s">
        <v>50</v>
      </c>
      <c r="V80" t="s">
        <v>440</v>
      </c>
      <c r="W80" t="s">
        <v>52</v>
      </c>
    </row>
    <row r="81" spans="1:23" x14ac:dyDescent="0.3">
      <c r="A81" t="s">
        <v>459</v>
      </c>
      <c r="B81" t="s">
        <v>76</v>
      </c>
      <c r="C81" t="s">
        <v>460</v>
      </c>
      <c r="D81" t="s">
        <v>26</v>
      </c>
      <c r="E81" t="s">
        <v>461</v>
      </c>
      <c r="F81" t="s">
        <v>58</v>
      </c>
      <c r="G81" t="s">
        <v>462</v>
      </c>
      <c r="H81">
        <v>1499</v>
      </c>
      <c r="I81">
        <v>1</v>
      </c>
      <c r="J81">
        <v>1499</v>
      </c>
      <c r="K81" t="s">
        <v>44</v>
      </c>
      <c r="L81">
        <v>20</v>
      </c>
      <c r="M81" t="s">
        <v>45</v>
      </c>
      <c r="N81" t="s">
        <v>46</v>
      </c>
      <c r="O81" t="s">
        <v>208</v>
      </c>
      <c r="P81" t="s">
        <v>209</v>
      </c>
      <c r="Q81" t="s">
        <v>61</v>
      </c>
      <c r="R81" t="s">
        <v>445</v>
      </c>
      <c r="S81" t="s">
        <v>35</v>
      </c>
      <c r="T81" t="s">
        <v>36</v>
      </c>
      <c r="W81" t="s">
        <v>37</v>
      </c>
    </row>
    <row r="82" spans="1:23" x14ac:dyDescent="0.3">
      <c r="A82" t="s">
        <v>463</v>
      </c>
      <c r="B82" t="s">
        <v>76</v>
      </c>
      <c r="C82" t="s">
        <v>464</v>
      </c>
      <c r="D82" t="s">
        <v>26</v>
      </c>
      <c r="E82" t="s">
        <v>465</v>
      </c>
      <c r="F82" t="s">
        <v>42</v>
      </c>
      <c r="G82" t="s">
        <v>466</v>
      </c>
      <c r="H82">
        <v>2899</v>
      </c>
      <c r="I82">
        <v>1</v>
      </c>
      <c r="J82">
        <v>2899</v>
      </c>
      <c r="L82">
        <v>0</v>
      </c>
      <c r="M82" t="s">
        <v>70</v>
      </c>
      <c r="N82" t="s">
        <v>31</v>
      </c>
      <c r="O82" t="s">
        <v>215</v>
      </c>
      <c r="P82" t="s">
        <v>216</v>
      </c>
      <c r="Q82" t="s">
        <v>61</v>
      </c>
      <c r="R82" t="s">
        <v>197</v>
      </c>
      <c r="S82" t="s">
        <v>35</v>
      </c>
      <c r="T82" t="s">
        <v>49</v>
      </c>
      <c r="U82" t="s">
        <v>89</v>
      </c>
      <c r="V82" t="s">
        <v>467</v>
      </c>
      <c r="W82" t="s">
        <v>52</v>
      </c>
    </row>
    <row r="83" spans="1:23" x14ac:dyDescent="0.3">
      <c r="A83" t="s">
        <v>468</v>
      </c>
      <c r="B83" t="s">
        <v>76</v>
      </c>
      <c r="C83" t="s">
        <v>469</v>
      </c>
      <c r="D83" t="s">
        <v>40</v>
      </c>
      <c r="E83" t="s">
        <v>470</v>
      </c>
      <c r="F83" t="s">
        <v>28</v>
      </c>
      <c r="G83" t="s">
        <v>471</v>
      </c>
      <c r="H83">
        <v>1099</v>
      </c>
      <c r="I83">
        <v>2</v>
      </c>
      <c r="J83">
        <v>2198</v>
      </c>
      <c r="L83">
        <v>0</v>
      </c>
      <c r="M83" t="s">
        <v>30</v>
      </c>
      <c r="N83" t="s">
        <v>71</v>
      </c>
      <c r="O83" t="s">
        <v>221</v>
      </c>
      <c r="P83" t="s">
        <v>209</v>
      </c>
      <c r="Q83" t="s">
        <v>61</v>
      </c>
      <c r="R83" t="s">
        <v>179</v>
      </c>
      <c r="S83" t="s">
        <v>35</v>
      </c>
      <c r="T83" t="s">
        <v>36</v>
      </c>
      <c r="W83" t="s">
        <v>37</v>
      </c>
    </row>
    <row r="84" spans="1:23" x14ac:dyDescent="0.3">
      <c r="A84" t="s">
        <v>472</v>
      </c>
      <c r="B84" t="s">
        <v>76</v>
      </c>
      <c r="C84" t="s">
        <v>473</v>
      </c>
      <c r="D84" t="s">
        <v>26</v>
      </c>
      <c r="E84" t="s">
        <v>474</v>
      </c>
      <c r="F84" t="s">
        <v>67</v>
      </c>
      <c r="G84" t="s">
        <v>225</v>
      </c>
      <c r="H84">
        <v>5499</v>
      </c>
      <c r="I84">
        <v>1</v>
      </c>
      <c r="J84">
        <v>5499</v>
      </c>
      <c r="K84" t="s">
        <v>69</v>
      </c>
      <c r="L84">
        <v>15</v>
      </c>
      <c r="M84" t="s">
        <v>45</v>
      </c>
      <c r="N84" t="s">
        <v>46</v>
      </c>
      <c r="O84" t="s">
        <v>226</v>
      </c>
      <c r="P84" t="s">
        <v>62</v>
      </c>
      <c r="Q84" t="s">
        <v>61</v>
      </c>
      <c r="R84" t="s">
        <v>475</v>
      </c>
      <c r="S84" t="s">
        <v>35</v>
      </c>
      <c r="T84" t="s">
        <v>49</v>
      </c>
      <c r="U84" t="s">
        <v>50</v>
      </c>
      <c r="V84" t="s">
        <v>476</v>
      </c>
      <c r="W84" t="s">
        <v>52</v>
      </c>
    </row>
    <row r="85" spans="1:23" x14ac:dyDescent="0.3">
      <c r="A85" t="s">
        <v>477</v>
      </c>
      <c r="B85" t="s">
        <v>248</v>
      </c>
      <c r="C85" t="s">
        <v>478</v>
      </c>
      <c r="D85" t="s">
        <v>26</v>
      </c>
      <c r="E85" t="s">
        <v>479</v>
      </c>
      <c r="F85" t="s">
        <v>79</v>
      </c>
      <c r="G85" t="s">
        <v>480</v>
      </c>
      <c r="H85">
        <v>799</v>
      </c>
      <c r="I85">
        <v>1</v>
      </c>
      <c r="J85">
        <v>799</v>
      </c>
      <c r="L85">
        <v>0</v>
      </c>
      <c r="M85" t="s">
        <v>60</v>
      </c>
      <c r="N85" t="s">
        <v>31</v>
      </c>
      <c r="O85" t="s">
        <v>233</v>
      </c>
      <c r="P85" t="s">
        <v>109</v>
      </c>
      <c r="Q85" t="s">
        <v>32</v>
      </c>
      <c r="S85" t="s">
        <v>137</v>
      </c>
      <c r="T85" t="s">
        <v>36</v>
      </c>
      <c r="W85" t="s">
        <v>37</v>
      </c>
    </row>
    <row r="86" spans="1:23" x14ac:dyDescent="0.3">
      <c r="A86" t="s">
        <v>481</v>
      </c>
      <c r="B86" t="s">
        <v>248</v>
      </c>
      <c r="C86" t="s">
        <v>482</v>
      </c>
      <c r="D86" t="s">
        <v>26</v>
      </c>
      <c r="E86" t="s">
        <v>483</v>
      </c>
      <c r="F86" t="s">
        <v>58</v>
      </c>
      <c r="G86" t="s">
        <v>484</v>
      </c>
      <c r="H86">
        <v>1599</v>
      </c>
      <c r="I86">
        <v>1</v>
      </c>
      <c r="J86">
        <v>1599</v>
      </c>
      <c r="L86">
        <v>0</v>
      </c>
      <c r="M86" t="s">
        <v>128</v>
      </c>
      <c r="N86" t="s">
        <v>71</v>
      </c>
      <c r="O86" t="s">
        <v>238</v>
      </c>
      <c r="P86" t="s">
        <v>109</v>
      </c>
      <c r="Q86" t="s">
        <v>32</v>
      </c>
      <c r="R86" t="s">
        <v>197</v>
      </c>
      <c r="S86" t="s">
        <v>35</v>
      </c>
      <c r="T86" t="s">
        <v>36</v>
      </c>
      <c r="W86" t="s">
        <v>37</v>
      </c>
    </row>
    <row r="87" spans="1:23" x14ac:dyDescent="0.3">
      <c r="A87" t="s">
        <v>485</v>
      </c>
      <c r="B87" t="s">
        <v>248</v>
      </c>
      <c r="C87" t="s">
        <v>486</v>
      </c>
      <c r="D87" t="s">
        <v>40</v>
      </c>
      <c r="E87" t="s">
        <v>487</v>
      </c>
      <c r="F87" t="s">
        <v>42</v>
      </c>
      <c r="G87" t="s">
        <v>488</v>
      </c>
      <c r="H87">
        <v>2699</v>
      </c>
      <c r="I87">
        <v>1</v>
      </c>
      <c r="J87">
        <v>2699</v>
      </c>
      <c r="K87" t="s">
        <v>44</v>
      </c>
      <c r="L87">
        <v>20</v>
      </c>
      <c r="M87" t="s">
        <v>45</v>
      </c>
      <c r="N87" t="s">
        <v>46</v>
      </c>
      <c r="O87" t="s">
        <v>243</v>
      </c>
      <c r="P87" t="s">
        <v>130</v>
      </c>
      <c r="Q87" t="s">
        <v>47</v>
      </c>
      <c r="R87" t="s">
        <v>454</v>
      </c>
      <c r="S87" t="s">
        <v>35</v>
      </c>
      <c r="T87" t="s">
        <v>49</v>
      </c>
      <c r="U87" t="s">
        <v>75</v>
      </c>
      <c r="V87" t="s">
        <v>467</v>
      </c>
      <c r="W87" t="s">
        <v>52</v>
      </c>
    </row>
    <row r="88" spans="1:23" x14ac:dyDescent="0.3">
      <c r="A88" t="s">
        <v>489</v>
      </c>
      <c r="B88" t="s">
        <v>248</v>
      </c>
      <c r="C88" t="s">
        <v>490</v>
      </c>
      <c r="D88" t="s">
        <v>26</v>
      </c>
      <c r="E88" t="s">
        <v>491</v>
      </c>
      <c r="F88" t="s">
        <v>28</v>
      </c>
      <c r="G88" t="s">
        <v>492</v>
      </c>
      <c r="H88">
        <v>1499</v>
      </c>
      <c r="I88">
        <v>1</v>
      </c>
      <c r="J88">
        <v>1499</v>
      </c>
      <c r="L88">
        <v>0</v>
      </c>
      <c r="M88" t="s">
        <v>30</v>
      </c>
      <c r="N88" t="s">
        <v>31</v>
      </c>
      <c r="O88" t="s">
        <v>32</v>
      </c>
      <c r="P88" t="s">
        <v>33</v>
      </c>
      <c r="Q88" t="s">
        <v>32</v>
      </c>
      <c r="R88" t="s">
        <v>197</v>
      </c>
      <c r="S88" t="s">
        <v>35</v>
      </c>
      <c r="T88" t="s">
        <v>36</v>
      </c>
      <c r="W88" t="s">
        <v>37</v>
      </c>
    </row>
    <row r="89" spans="1:23" x14ac:dyDescent="0.3">
      <c r="A89" t="s">
        <v>493</v>
      </c>
      <c r="B89" t="s">
        <v>111</v>
      </c>
      <c r="C89" t="s">
        <v>494</v>
      </c>
      <c r="D89" t="s">
        <v>26</v>
      </c>
      <c r="E89" t="s">
        <v>495</v>
      </c>
      <c r="F89" t="s">
        <v>67</v>
      </c>
      <c r="G89" t="s">
        <v>496</v>
      </c>
      <c r="H89">
        <v>3299</v>
      </c>
      <c r="I89">
        <v>1</v>
      </c>
      <c r="J89">
        <v>3299</v>
      </c>
      <c r="L89">
        <v>0</v>
      </c>
      <c r="M89" t="s">
        <v>70</v>
      </c>
      <c r="N89" t="s">
        <v>71</v>
      </c>
      <c r="O89" t="s">
        <v>47</v>
      </c>
      <c r="P89" t="s">
        <v>47</v>
      </c>
      <c r="Q89" t="s">
        <v>47</v>
      </c>
      <c r="R89" t="s">
        <v>497</v>
      </c>
      <c r="S89" t="s">
        <v>35</v>
      </c>
      <c r="T89" t="s">
        <v>49</v>
      </c>
      <c r="U89" t="s">
        <v>119</v>
      </c>
      <c r="V89" t="s">
        <v>498</v>
      </c>
      <c r="W89" t="s">
        <v>52</v>
      </c>
    </row>
    <row r="90" spans="1:23" x14ac:dyDescent="0.3">
      <c r="A90" t="s">
        <v>499</v>
      </c>
      <c r="B90" t="s">
        <v>111</v>
      </c>
      <c r="C90" t="s">
        <v>500</v>
      </c>
      <c r="D90" t="s">
        <v>26</v>
      </c>
      <c r="E90" t="s">
        <v>501</v>
      </c>
      <c r="F90" t="s">
        <v>79</v>
      </c>
      <c r="G90" t="s">
        <v>502</v>
      </c>
      <c r="H90">
        <v>499</v>
      </c>
      <c r="I90">
        <v>2</v>
      </c>
      <c r="J90">
        <v>998</v>
      </c>
      <c r="K90" t="s">
        <v>127</v>
      </c>
      <c r="L90">
        <v>10</v>
      </c>
      <c r="M90" t="s">
        <v>45</v>
      </c>
      <c r="N90" t="s">
        <v>46</v>
      </c>
      <c r="O90" t="s">
        <v>101</v>
      </c>
      <c r="P90" t="s">
        <v>102</v>
      </c>
      <c r="Q90" t="s">
        <v>47</v>
      </c>
      <c r="R90" t="s">
        <v>454</v>
      </c>
      <c r="S90" t="s">
        <v>35</v>
      </c>
      <c r="T90" t="s">
        <v>36</v>
      </c>
      <c r="W90" t="s">
        <v>37</v>
      </c>
    </row>
    <row r="91" spans="1:23" x14ac:dyDescent="0.3">
      <c r="A91" t="s">
        <v>503</v>
      </c>
      <c r="B91" t="s">
        <v>111</v>
      </c>
      <c r="C91" t="s">
        <v>504</v>
      </c>
      <c r="D91" t="s">
        <v>40</v>
      </c>
      <c r="E91" t="s">
        <v>505</v>
      </c>
      <c r="F91" t="s">
        <v>58</v>
      </c>
      <c r="G91" t="s">
        <v>506</v>
      </c>
      <c r="H91">
        <v>2399</v>
      </c>
      <c r="I91">
        <v>1</v>
      </c>
      <c r="J91">
        <v>2399</v>
      </c>
      <c r="L91">
        <v>0</v>
      </c>
      <c r="M91" t="s">
        <v>30</v>
      </c>
      <c r="N91" t="s">
        <v>31</v>
      </c>
      <c r="O91" t="s">
        <v>72</v>
      </c>
      <c r="P91" t="s">
        <v>73</v>
      </c>
      <c r="Q91" t="s">
        <v>61</v>
      </c>
      <c r="R91" t="s">
        <v>475</v>
      </c>
      <c r="S91" t="s">
        <v>35</v>
      </c>
      <c r="T91" t="s">
        <v>36</v>
      </c>
      <c r="W91" t="s">
        <v>37</v>
      </c>
    </row>
    <row r="92" spans="1:23" x14ac:dyDescent="0.3">
      <c r="A92" t="s">
        <v>507</v>
      </c>
      <c r="B92" t="s">
        <v>111</v>
      </c>
      <c r="C92" t="s">
        <v>508</v>
      </c>
      <c r="D92" t="s">
        <v>26</v>
      </c>
      <c r="E92" t="s">
        <v>509</v>
      </c>
      <c r="F92" t="s">
        <v>42</v>
      </c>
      <c r="G92" t="s">
        <v>510</v>
      </c>
      <c r="H92">
        <v>2599</v>
      </c>
      <c r="I92">
        <v>1</v>
      </c>
      <c r="J92">
        <v>2599</v>
      </c>
      <c r="L92">
        <v>0</v>
      </c>
      <c r="M92" t="s">
        <v>60</v>
      </c>
      <c r="N92" t="s">
        <v>71</v>
      </c>
      <c r="O92" t="s">
        <v>86</v>
      </c>
      <c r="P92" t="s">
        <v>87</v>
      </c>
      <c r="Q92" t="s">
        <v>61</v>
      </c>
      <c r="S92" t="s">
        <v>137</v>
      </c>
      <c r="T92" t="s">
        <v>36</v>
      </c>
      <c r="W92" t="s">
        <v>37</v>
      </c>
    </row>
    <row r="93" spans="1:23" x14ac:dyDescent="0.3">
      <c r="A93" t="s">
        <v>511</v>
      </c>
      <c r="B93" t="s">
        <v>341</v>
      </c>
      <c r="C93" t="s">
        <v>512</v>
      </c>
      <c r="D93" t="s">
        <v>26</v>
      </c>
      <c r="E93" t="s">
        <v>513</v>
      </c>
      <c r="F93" t="s">
        <v>28</v>
      </c>
      <c r="G93" t="s">
        <v>514</v>
      </c>
      <c r="H93">
        <v>1399</v>
      </c>
      <c r="I93">
        <v>1</v>
      </c>
      <c r="J93">
        <v>1399</v>
      </c>
      <c r="K93" t="s">
        <v>44</v>
      </c>
      <c r="L93">
        <v>20</v>
      </c>
      <c r="M93" t="s">
        <v>128</v>
      </c>
      <c r="N93" t="s">
        <v>46</v>
      </c>
      <c r="O93" t="s">
        <v>95</v>
      </c>
      <c r="P93" t="s">
        <v>33</v>
      </c>
      <c r="Q93" t="s">
        <v>32</v>
      </c>
      <c r="R93" t="s">
        <v>475</v>
      </c>
      <c r="S93" t="s">
        <v>35</v>
      </c>
      <c r="T93" t="s">
        <v>49</v>
      </c>
      <c r="U93" t="s">
        <v>50</v>
      </c>
      <c r="V93" t="s">
        <v>515</v>
      </c>
      <c r="W93" t="s">
        <v>52</v>
      </c>
    </row>
    <row r="94" spans="1:23" x14ac:dyDescent="0.3">
      <c r="A94" t="s">
        <v>516</v>
      </c>
      <c r="B94" t="s">
        <v>341</v>
      </c>
      <c r="C94" t="s">
        <v>517</v>
      </c>
      <c r="D94" t="s">
        <v>26</v>
      </c>
      <c r="E94" t="s">
        <v>518</v>
      </c>
      <c r="F94" t="s">
        <v>67</v>
      </c>
      <c r="G94" t="s">
        <v>519</v>
      </c>
      <c r="H94">
        <v>4299</v>
      </c>
      <c r="I94">
        <v>1</v>
      </c>
      <c r="J94">
        <v>4299</v>
      </c>
      <c r="L94">
        <v>0</v>
      </c>
      <c r="M94" t="s">
        <v>45</v>
      </c>
      <c r="N94" t="s">
        <v>31</v>
      </c>
      <c r="O94" t="s">
        <v>108</v>
      </c>
      <c r="P94" t="s">
        <v>109</v>
      </c>
      <c r="Q94" t="s">
        <v>32</v>
      </c>
      <c r="R94" t="s">
        <v>210</v>
      </c>
      <c r="S94" t="s">
        <v>35</v>
      </c>
      <c r="T94" t="s">
        <v>36</v>
      </c>
      <c r="W94" t="s">
        <v>37</v>
      </c>
    </row>
    <row r="95" spans="1:23" x14ac:dyDescent="0.3">
      <c r="A95" t="s">
        <v>520</v>
      </c>
      <c r="B95" t="s">
        <v>341</v>
      </c>
      <c r="C95" t="s">
        <v>521</v>
      </c>
      <c r="D95" t="s">
        <v>40</v>
      </c>
      <c r="E95" t="s">
        <v>522</v>
      </c>
      <c r="F95" t="s">
        <v>79</v>
      </c>
      <c r="G95" t="s">
        <v>523</v>
      </c>
      <c r="H95">
        <v>399</v>
      </c>
      <c r="I95">
        <v>3</v>
      </c>
      <c r="J95">
        <v>1197</v>
      </c>
      <c r="L95">
        <v>0</v>
      </c>
      <c r="M95" t="s">
        <v>30</v>
      </c>
      <c r="N95" t="s">
        <v>71</v>
      </c>
      <c r="O95" t="s">
        <v>116</v>
      </c>
      <c r="P95" t="s">
        <v>117</v>
      </c>
      <c r="Q95" t="s">
        <v>47</v>
      </c>
      <c r="R95" t="s">
        <v>197</v>
      </c>
      <c r="S95" t="s">
        <v>35</v>
      </c>
      <c r="T95" t="s">
        <v>36</v>
      </c>
      <c r="W95" t="s">
        <v>37</v>
      </c>
    </row>
    <row r="96" spans="1:23" x14ac:dyDescent="0.3">
      <c r="A96" t="s">
        <v>524</v>
      </c>
      <c r="B96" t="s">
        <v>341</v>
      </c>
      <c r="C96" t="s">
        <v>525</v>
      </c>
      <c r="D96" t="s">
        <v>26</v>
      </c>
      <c r="E96" t="s">
        <v>526</v>
      </c>
      <c r="F96" t="s">
        <v>58</v>
      </c>
      <c r="G96" t="s">
        <v>527</v>
      </c>
      <c r="H96">
        <v>2199</v>
      </c>
      <c r="I96">
        <v>1</v>
      </c>
      <c r="J96">
        <v>2199</v>
      </c>
      <c r="K96" t="s">
        <v>69</v>
      </c>
      <c r="L96">
        <v>15</v>
      </c>
      <c r="M96" t="s">
        <v>70</v>
      </c>
      <c r="N96" t="s">
        <v>46</v>
      </c>
      <c r="O96" t="s">
        <v>129</v>
      </c>
      <c r="P96" t="s">
        <v>130</v>
      </c>
      <c r="Q96" t="s">
        <v>47</v>
      </c>
      <c r="R96" t="s">
        <v>210</v>
      </c>
      <c r="S96" t="s">
        <v>35</v>
      </c>
      <c r="T96" t="s">
        <v>49</v>
      </c>
      <c r="U96" t="s">
        <v>158</v>
      </c>
      <c r="V96" t="s">
        <v>528</v>
      </c>
      <c r="W96" t="s">
        <v>52</v>
      </c>
    </row>
    <row r="97" spans="1:23" x14ac:dyDescent="0.3">
      <c r="A97" t="s">
        <v>529</v>
      </c>
      <c r="B97" t="s">
        <v>351</v>
      </c>
      <c r="C97" t="s">
        <v>530</v>
      </c>
      <c r="D97" t="s">
        <v>26</v>
      </c>
      <c r="E97" t="s">
        <v>531</v>
      </c>
      <c r="F97" t="s">
        <v>42</v>
      </c>
      <c r="G97" t="s">
        <v>532</v>
      </c>
      <c r="H97">
        <v>2399</v>
      </c>
      <c r="I97">
        <v>1</v>
      </c>
      <c r="J97">
        <v>2399</v>
      </c>
      <c r="L97">
        <v>0</v>
      </c>
      <c r="M97" t="s">
        <v>45</v>
      </c>
      <c r="N97" t="s">
        <v>31</v>
      </c>
      <c r="O97" t="s">
        <v>61</v>
      </c>
      <c r="P97" t="s">
        <v>62</v>
      </c>
      <c r="Q97" t="s">
        <v>61</v>
      </c>
      <c r="R97" t="s">
        <v>497</v>
      </c>
      <c r="S97" t="s">
        <v>35</v>
      </c>
      <c r="T97" t="s">
        <v>36</v>
      </c>
      <c r="W97" t="s">
        <v>37</v>
      </c>
    </row>
    <row r="98" spans="1:23" x14ac:dyDescent="0.3">
      <c r="A98" t="s">
        <v>533</v>
      </c>
      <c r="B98" t="s">
        <v>351</v>
      </c>
      <c r="C98" t="s">
        <v>534</v>
      </c>
      <c r="D98" t="s">
        <v>26</v>
      </c>
      <c r="E98" t="s">
        <v>535</v>
      </c>
      <c r="F98" t="s">
        <v>28</v>
      </c>
      <c r="G98" t="s">
        <v>536</v>
      </c>
      <c r="H98">
        <v>1299</v>
      </c>
      <c r="I98">
        <v>1</v>
      </c>
      <c r="J98">
        <v>1299</v>
      </c>
      <c r="L98">
        <v>0</v>
      </c>
      <c r="M98" t="s">
        <v>60</v>
      </c>
      <c r="N98" t="s">
        <v>71</v>
      </c>
      <c r="O98" t="s">
        <v>32</v>
      </c>
      <c r="P98" t="s">
        <v>33</v>
      </c>
      <c r="Q98" t="s">
        <v>32</v>
      </c>
      <c r="R98" t="s">
        <v>537</v>
      </c>
      <c r="S98" t="s">
        <v>35</v>
      </c>
      <c r="T98" t="s">
        <v>49</v>
      </c>
      <c r="U98" t="s">
        <v>89</v>
      </c>
      <c r="V98" t="s">
        <v>528</v>
      </c>
      <c r="W98" t="s">
        <v>52</v>
      </c>
    </row>
    <row r="99" spans="1:23" x14ac:dyDescent="0.3">
      <c r="A99" t="s">
        <v>538</v>
      </c>
      <c r="B99" t="s">
        <v>351</v>
      </c>
      <c r="C99" t="s">
        <v>539</v>
      </c>
      <c r="D99" t="s">
        <v>40</v>
      </c>
      <c r="E99" t="s">
        <v>540</v>
      </c>
      <c r="F99" t="s">
        <v>67</v>
      </c>
      <c r="G99" t="s">
        <v>541</v>
      </c>
      <c r="H99">
        <v>2799</v>
      </c>
      <c r="I99">
        <v>1</v>
      </c>
      <c r="J99">
        <v>2799</v>
      </c>
      <c r="K99" t="s">
        <v>44</v>
      </c>
      <c r="L99">
        <v>20</v>
      </c>
      <c r="M99" t="s">
        <v>30</v>
      </c>
      <c r="N99" t="s">
        <v>46</v>
      </c>
      <c r="O99" t="s">
        <v>47</v>
      </c>
      <c r="P99" t="s">
        <v>47</v>
      </c>
      <c r="Q99" t="s">
        <v>47</v>
      </c>
      <c r="R99" t="s">
        <v>210</v>
      </c>
      <c r="S99" t="s">
        <v>35</v>
      </c>
      <c r="T99" t="s">
        <v>36</v>
      </c>
      <c r="W99" t="s">
        <v>37</v>
      </c>
    </row>
    <row r="100" spans="1:23" x14ac:dyDescent="0.3">
      <c r="A100" t="s">
        <v>542</v>
      </c>
      <c r="B100" t="s">
        <v>351</v>
      </c>
      <c r="C100" t="s">
        <v>543</v>
      </c>
      <c r="D100" t="s">
        <v>26</v>
      </c>
      <c r="E100" t="s">
        <v>544</v>
      </c>
      <c r="F100" t="s">
        <v>79</v>
      </c>
      <c r="G100" t="s">
        <v>545</v>
      </c>
      <c r="H100">
        <v>699</v>
      </c>
      <c r="I100">
        <v>1</v>
      </c>
      <c r="J100">
        <v>699</v>
      </c>
      <c r="L100">
        <v>0</v>
      </c>
      <c r="M100" t="s">
        <v>128</v>
      </c>
      <c r="N100" t="s">
        <v>31</v>
      </c>
      <c r="O100" t="s">
        <v>135</v>
      </c>
      <c r="P100" t="s">
        <v>136</v>
      </c>
      <c r="Q100" t="s">
        <v>47</v>
      </c>
      <c r="R100" t="s">
        <v>497</v>
      </c>
      <c r="S100" t="s">
        <v>35</v>
      </c>
      <c r="T100" t="s">
        <v>36</v>
      </c>
      <c r="W100" t="s">
        <v>37</v>
      </c>
    </row>
    <row r="101" spans="1:23" x14ac:dyDescent="0.3">
      <c r="A101" t="s">
        <v>546</v>
      </c>
      <c r="B101" t="s">
        <v>120</v>
      </c>
      <c r="C101" t="s">
        <v>547</v>
      </c>
      <c r="D101" t="s">
        <v>26</v>
      </c>
      <c r="E101" t="s">
        <v>548</v>
      </c>
      <c r="F101" t="s">
        <v>58</v>
      </c>
      <c r="G101" t="s">
        <v>549</v>
      </c>
      <c r="H101">
        <v>1699</v>
      </c>
      <c r="I101">
        <v>1</v>
      </c>
      <c r="J101">
        <v>1699</v>
      </c>
      <c r="L101">
        <v>0</v>
      </c>
      <c r="M101" t="s">
        <v>70</v>
      </c>
      <c r="N101" t="s">
        <v>71</v>
      </c>
      <c r="O101" t="s">
        <v>156</v>
      </c>
      <c r="P101" t="s">
        <v>130</v>
      </c>
      <c r="Q101" t="s">
        <v>47</v>
      </c>
      <c r="R101" t="s">
        <v>550</v>
      </c>
      <c r="S101" t="s">
        <v>35</v>
      </c>
      <c r="T101" t="s">
        <v>49</v>
      </c>
      <c r="U101" t="s">
        <v>50</v>
      </c>
      <c r="V101" t="s">
        <v>551</v>
      </c>
      <c r="W101" t="s">
        <v>52</v>
      </c>
    </row>
    <row r="102" spans="1:23" x14ac:dyDescent="0.3">
      <c r="A102" t="s">
        <v>552</v>
      </c>
      <c r="B102" t="s">
        <v>120</v>
      </c>
      <c r="C102" t="s">
        <v>553</v>
      </c>
      <c r="D102" t="s">
        <v>26</v>
      </c>
      <c r="E102" t="s">
        <v>554</v>
      </c>
      <c r="F102" t="s">
        <v>42</v>
      </c>
      <c r="G102" t="s">
        <v>170</v>
      </c>
      <c r="H102">
        <v>2799</v>
      </c>
      <c r="I102">
        <v>1</v>
      </c>
      <c r="J102">
        <v>2799</v>
      </c>
      <c r="K102" t="s">
        <v>127</v>
      </c>
      <c r="L102">
        <v>10</v>
      </c>
      <c r="M102" t="s">
        <v>45</v>
      </c>
      <c r="N102" t="s">
        <v>46</v>
      </c>
      <c r="O102" t="s">
        <v>164</v>
      </c>
      <c r="P102" t="s">
        <v>165</v>
      </c>
      <c r="Q102" t="s">
        <v>47</v>
      </c>
      <c r="R102" t="s">
        <v>537</v>
      </c>
      <c r="S102" t="s">
        <v>35</v>
      </c>
      <c r="T102" t="s">
        <v>36</v>
      </c>
      <c r="W102" t="s">
        <v>37</v>
      </c>
    </row>
    <row r="103" spans="1:23" x14ac:dyDescent="0.3">
      <c r="A103" t="s">
        <v>555</v>
      </c>
      <c r="B103" t="s">
        <v>120</v>
      </c>
      <c r="C103" t="s">
        <v>556</v>
      </c>
      <c r="D103" t="s">
        <v>40</v>
      </c>
      <c r="E103" t="s">
        <v>557</v>
      </c>
      <c r="F103" t="s">
        <v>28</v>
      </c>
      <c r="G103" t="s">
        <v>558</v>
      </c>
      <c r="H103">
        <v>1199</v>
      </c>
      <c r="I103">
        <v>2</v>
      </c>
      <c r="J103">
        <v>2398</v>
      </c>
      <c r="L103">
        <v>0</v>
      </c>
      <c r="M103" t="s">
        <v>30</v>
      </c>
      <c r="N103" t="s">
        <v>31</v>
      </c>
      <c r="O103" t="s">
        <v>171</v>
      </c>
      <c r="P103" t="s">
        <v>172</v>
      </c>
      <c r="Q103" t="s">
        <v>32</v>
      </c>
      <c r="R103" t="s">
        <v>210</v>
      </c>
      <c r="S103" t="s">
        <v>35</v>
      </c>
      <c r="T103" t="s">
        <v>49</v>
      </c>
      <c r="U103" t="s">
        <v>75</v>
      </c>
      <c r="V103" t="s">
        <v>559</v>
      </c>
      <c r="W103" t="s">
        <v>52</v>
      </c>
    </row>
    <row r="104" spans="1:23" x14ac:dyDescent="0.3">
      <c r="A104" t="s">
        <v>560</v>
      </c>
      <c r="B104" t="s">
        <v>120</v>
      </c>
      <c r="C104" t="s">
        <v>561</v>
      </c>
      <c r="D104" t="s">
        <v>26</v>
      </c>
      <c r="E104" t="s">
        <v>562</v>
      </c>
      <c r="F104" t="s">
        <v>67</v>
      </c>
      <c r="G104" t="s">
        <v>563</v>
      </c>
      <c r="H104">
        <v>5999</v>
      </c>
      <c r="I104">
        <v>1</v>
      </c>
      <c r="J104">
        <v>5999</v>
      </c>
      <c r="L104">
        <v>0</v>
      </c>
      <c r="M104" t="s">
        <v>45</v>
      </c>
      <c r="N104" t="s">
        <v>71</v>
      </c>
      <c r="O104" t="s">
        <v>177</v>
      </c>
      <c r="P104" t="s">
        <v>109</v>
      </c>
      <c r="Q104" t="s">
        <v>32</v>
      </c>
      <c r="R104" t="s">
        <v>228</v>
      </c>
      <c r="S104" t="s">
        <v>35</v>
      </c>
      <c r="T104" t="s">
        <v>36</v>
      </c>
      <c r="W104" t="s">
        <v>37</v>
      </c>
    </row>
    <row r="105" spans="1:23" x14ac:dyDescent="0.3">
      <c r="A105" t="s">
        <v>564</v>
      </c>
      <c r="B105" t="s">
        <v>159</v>
      </c>
      <c r="C105" t="s">
        <v>565</v>
      </c>
      <c r="D105" t="s">
        <v>26</v>
      </c>
      <c r="E105" t="s">
        <v>566</v>
      </c>
      <c r="F105" t="s">
        <v>79</v>
      </c>
      <c r="G105" t="s">
        <v>567</v>
      </c>
      <c r="H105">
        <v>1799</v>
      </c>
      <c r="I105">
        <v>1</v>
      </c>
      <c r="J105">
        <v>1799</v>
      </c>
      <c r="K105" t="s">
        <v>44</v>
      </c>
      <c r="L105">
        <v>20</v>
      </c>
      <c r="M105" t="s">
        <v>60</v>
      </c>
      <c r="N105" t="s">
        <v>46</v>
      </c>
      <c r="O105" t="s">
        <v>184</v>
      </c>
      <c r="P105" t="s">
        <v>185</v>
      </c>
      <c r="Q105" t="s">
        <v>47</v>
      </c>
      <c r="S105" t="s">
        <v>137</v>
      </c>
      <c r="T105" t="s">
        <v>36</v>
      </c>
      <c r="W105" t="s">
        <v>37</v>
      </c>
    </row>
    <row r="106" spans="1:23" x14ac:dyDescent="0.3">
      <c r="A106" t="s">
        <v>568</v>
      </c>
      <c r="B106" t="s">
        <v>159</v>
      </c>
      <c r="C106" t="s">
        <v>569</v>
      </c>
      <c r="D106" t="s">
        <v>26</v>
      </c>
      <c r="E106" t="s">
        <v>570</v>
      </c>
      <c r="F106" t="s">
        <v>58</v>
      </c>
      <c r="G106" t="s">
        <v>571</v>
      </c>
      <c r="H106">
        <v>1999</v>
      </c>
      <c r="I106">
        <v>1</v>
      </c>
      <c r="J106">
        <v>1999</v>
      </c>
      <c r="L106">
        <v>0</v>
      </c>
      <c r="M106" t="s">
        <v>128</v>
      </c>
      <c r="N106" t="s">
        <v>31</v>
      </c>
      <c r="O106" t="s">
        <v>190</v>
      </c>
      <c r="P106" t="s">
        <v>172</v>
      </c>
      <c r="Q106" t="s">
        <v>32</v>
      </c>
      <c r="R106" t="s">
        <v>550</v>
      </c>
      <c r="S106" t="s">
        <v>35</v>
      </c>
      <c r="T106" t="s">
        <v>49</v>
      </c>
      <c r="U106" t="s">
        <v>119</v>
      </c>
      <c r="V106" t="s">
        <v>572</v>
      </c>
      <c r="W106" t="s">
        <v>52</v>
      </c>
    </row>
    <row r="107" spans="1:23" x14ac:dyDescent="0.3">
      <c r="A107" t="s">
        <v>573</v>
      </c>
      <c r="B107" t="s">
        <v>159</v>
      </c>
      <c r="C107" t="s">
        <v>574</v>
      </c>
      <c r="D107" t="s">
        <v>40</v>
      </c>
      <c r="E107" t="s">
        <v>575</v>
      </c>
      <c r="F107" t="s">
        <v>42</v>
      </c>
      <c r="G107" t="s">
        <v>576</v>
      </c>
      <c r="H107">
        <v>2499</v>
      </c>
      <c r="I107">
        <v>1</v>
      </c>
      <c r="J107">
        <v>2499</v>
      </c>
      <c r="L107">
        <v>0</v>
      </c>
      <c r="M107" t="s">
        <v>70</v>
      </c>
      <c r="N107" t="s">
        <v>71</v>
      </c>
      <c r="O107" t="s">
        <v>195</v>
      </c>
      <c r="P107" t="s">
        <v>33</v>
      </c>
      <c r="Q107" t="s">
        <v>32</v>
      </c>
      <c r="R107" t="s">
        <v>228</v>
      </c>
      <c r="S107" t="s">
        <v>35</v>
      </c>
      <c r="T107" t="s">
        <v>36</v>
      </c>
      <c r="W107" t="s">
        <v>37</v>
      </c>
    </row>
    <row r="108" spans="1:23" x14ac:dyDescent="0.3">
      <c r="A108" t="s">
        <v>577</v>
      </c>
      <c r="B108" t="s">
        <v>159</v>
      </c>
      <c r="C108" t="s">
        <v>578</v>
      </c>
      <c r="D108" t="s">
        <v>26</v>
      </c>
      <c r="E108" t="s">
        <v>579</v>
      </c>
      <c r="F108" t="s">
        <v>28</v>
      </c>
      <c r="G108" t="s">
        <v>580</v>
      </c>
      <c r="H108">
        <v>1599</v>
      </c>
      <c r="I108">
        <v>1</v>
      </c>
      <c r="J108">
        <v>1599</v>
      </c>
      <c r="K108" t="s">
        <v>69</v>
      </c>
      <c r="L108">
        <v>15</v>
      </c>
      <c r="M108" t="s">
        <v>30</v>
      </c>
      <c r="N108" t="s">
        <v>46</v>
      </c>
      <c r="O108" t="s">
        <v>202</v>
      </c>
      <c r="P108" t="s">
        <v>73</v>
      </c>
      <c r="Q108" t="s">
        <v>61</v>
      </c>
      <c r="R108" t="s">
        <v>537</v>
      </c>
      <c r="S108" t="s">
        <v>35</v>
      </c>
      <c r="T108" t="s">
        <v>49</v>
      </c>
      <c r="U108" t="s">
        <v>50</v>
      </c>
      <c r="V108" t="s">
        <v>528</v>
      </c>
      <c r="W108" t="s">
        <v>52</v>
      </c>
    </row>
    <row r="109" spans="1:23" x14ac:dyDescent="0.3">
      <c r="A109" t="s">
        <v>581</v>
      </c>
      <c r="B109" t="s">
        <v>387</v>
      </c>
      <c r="C109" t="s">
        <v>582</v>
      </c>
      <c r="D109" t="s">
        <v>26</v>
      </c>
      <c r="E109" t="s">
        <v>583</v>
      </c>
      <c r="F109" t="s">
        <v>67</v>
      </c>
      <c r="G109" t="s">
        <v>584</v>
      </c>
      <c r="H109">
        <v>3999</v>
      </c>
      <c r="I109">
        <v>1</v>
      </c>
      <c r="J109">
        <v>3999</v>
      </c>
      <c r="L109">
        <v>0</v>
      </c>
      <c r="M109" t="s">
        <v>45</v>
      </c>
      <c r="N109" t="s">
        <v>31</v>
      </c>
      <c r="O109" t="s">
        <v>208</v>
      </c>
      <c r="P109" t="s">
        <v>209</v>
      </c>
      <c r="Q109" t="s">
        <v>61</v>
      </c>
      <c r="R109" t="s">
        <v>585</v>
      </c>
      <c r="S109" t="s">
        <v>35</v>
      </c>
      <c r="T109" t="s">
        <v>36</v>
      </c>
      <c r="W109" t="s">
        <v>37</v>
      </c>
    </row>
    <row r="110" spans="1:23" x14ac:dyDescent="0.3">
      <c r="A110" t="s">
        <v>586</v>
      </c>
      <c r="B110" t="s">
        <v>387</v>
      </c>
      <c r="C110" t="s">
        <v>587</v>
      </c>
      <c r="D110" t="s">
        <v>26</v>
      </c>
      <c r="E110" t="s">
        <v>588</v>
      </c>
      <c r="F110" t="s">
        <v>79</v>
      </c>
      <c r="G110" t="s">
        <v>589</v>
      </c>
      <c r="H110">
        <v>599</v>
      </c>
      <c r="I110">
        <v>2</v>
      </c>
      <c r="J110">
        <v>1198</v>
      </c>
      <c r="L110">
        <v>0</v>
      </c>
      <c r="M110" t="s">
        <v>60</v>
      </c>
      <c r="N110" t="s">
        <v>71</v>
      </c>
      <c r="O110" t="s">
        <v>215</v>
      </c>
      <c r="P110" t="s">
        <v>216</v>
      </c>
      <c r="Q110" t="s">
        <v>61</v>
      </c>
      <c r="R110" t="s">
        <v>550</v>
      </c>
      <c r="S110" t="s">
        <v>35</v>
      </c>
      <c r="T110" t="s">
        <v>49</v>
      </c>
      <c r="U110" t="s">
        <v>158</v>
      </c>
      <c r="V110" t="s">
        <v>551</v>
      </c>
      <c r="W110" t="s">
        <v>52</v>
      </c>
    </row>
    <row r="111" spans="1:23" x14ac:dyDescent="0.3">
      <c r="A111" t="s">
        <v>590</v>
      </c>
      <c r="B111" t="s">
        <v>387</v>
      </c>
      <c r="C111" t="s">
        <v>591</v>
      </c>
      <c r="D111" t="s">
        <v>40</v>
      </c>
      <c r="E111" t="s">
        <v>592</v>
      </c>
      <c r="F111" t="s">
        <v>58</v>
      </c>
      <c r="G111" t="s">
        <v>593</v>
      </c>
      <c r="H111">
        <v>1799</v>
      </c>
      <c r="I111">
        <v>1</v>
      </c>
      <c r="J111">
        <v>1799</v>
      </c>
      <c r="K111" t="s">
        <v>44</v>
      </c>
      <c r="L111">
        <v>20</v>
      </c>
      <c r="M111" t="s">
        <v>30</v>
      </c>
      <c r="N111" t="s">
        <v>46</v>
      </c>
      <c r="O111" t="s">
        <v>221</v>
      </c>
      <c r="P111" t="s">
        <v>209</v>
      </c>
      <c r="Q111" t="s">
        <v>61</v>
      </c>
      <c r="R111" t="s">
        <v>228</v>
      </c>
      <c r="S111" t="s">
        <v>35</v>
      </c>
      <c r="T111" t="s">
        <v>36</v>
      </c>
      <c r="W111" t="s">
        <v>37</v>
      </c>
    </row>
    <row r="112" spans="1:23" x14ac:dyDescent="0.3">
      <c r="A112" t="s">
        <v>594</v>
      </c>
      <c r="B112" t="s">
        <v>146</v>
      </c>
      <c r="C112" t="s">
        <v>595</v>
      </c>
      <c r="D112" t="s">
        <v>26</v>
      </c>
      <c r="E112" t="s">
        <v>596</v>
      </c>
      <c r="F112" t="s">
        <v>42</v>
      </c>
      <c r="G112" t="s">
        <v>597</v>
      </c>
      <c r="H112">
        <v>3499</v>
      </c>
      <c r="I112">
        <v>1</v>
      </c>
      <c r="J112">
        <v>3499</v>
      </c>
      <c r="K112" t="s">
        <v>598</v>
      </c>
      <c r="L112">
        <v>40</v>
      </c>
      <c r="M112" t="s">
        <v>45</v>
      </c>
      <c r="N112" t="s">
        <v>31</v>
      </c>
      <c r="O112" t="s">
        <v>47</v>
      </c>
      <c r="P112" t="s">
        <v>47</v>
      </c>
      <c r="Q112" t="s">
        <v>47</v>
      </c>
      <c r="R112" t="s">
        <v>197</v>
      </c>
      <c r="S112" t="s">
        <v>35</v>
      </c>
      <c r="T112" t="s">
        <v>49</v>
      </c>
      <c r="U112" t="s">
        <v>50</v>
      </c>
      <c r="V112" t="s">
        <v>342</v>
      </c>
      <c r="W112" t="s">
        <v>52</v>
      </c>
    </row>
    <row r="113" spans="1:23" x14ac:dyDescent="0.3">
      <c r="A113" t="s">
        <v>599</v>
      </c>
      <c r="B113" t="s">
        <v>146</v>
      </c>
      <c r="C113" t="s">
        <v>600</v>
      </c>
      <c r="D113" t="s">
        <v>26</v>
      </c>
      <c r="E113" t="s">
        <v>601</v>
      </c>
      <c r="F113" t="s">
        <v>67</v>
      </c>
      <c r="G113" t="s">
        <v>602</v>
      </c>
      <c r="H113">
        <v>5999</v>
      </c>
      <c r="I113">
        <v>1</v>
      </c>
      <c r="J113">
        <v>5999</v>
      </c>
      <c r="K113" t="s">
        <v>598</v>
      </c>
      <c r="L113">
        <v>40</v>
      </c>
      <c r="M113" t="s">
        <v>60</v>
      </c>
      <c r="N113" t="s">
        <v>46</v>
      </c>
      <c r="O113" t="s">
        <v>32</v>
      </c>
      <c r="P113" t="s">
        <v>33</v>
      </c>
      <c r="Q113" t="s">
        <v>32</v>
      </c>
      <c r="R113" t="s">
        <v>475</v>
      </c>
      <c r="S113" t="s">
        <v>35</v>
      </c>
      <c r="T113" t="s">
        <v>49</v>
      </c>
      <c r="U113" t="s">
        <v>119</v>
      </c>
      <c r="V113" t="s">
        <v>365</v>
      </c>
      <c r="W113" t="s">
        <v>52</v>
      </c>
    </row>
    <row r="114" spans="1:23" x14ac:dyDescent="0.3">
      <c r="A114" t="s">
        <v>603</v>
      </c>
      <c r="B114" t="s">
        <v>146</v>
      </c>
      <c r="C114" t="s">
        <v>604</v>
      </c>
      <c r="D114" t="s">
        <v>26</v>
      </c>
      <c r="E114" t="s">
        <v>605</v>
      </c>
      <c r="F114" t="s">
        <v>28</v>
      </c>
      <c r="G114" t="s">
        <v>606</v>
      </c>
      <c r="H114">
        <v>2299</v>
      </c>
      <c r="I114">
        <v>2</v>
      </c>
      <c r="J114">
        <v>4598</v>
      </c>
      <c r="K114" t="s">
        <v>598</v>
      </c>
      <c r="L114">
        <v>40</v>
      </c>
      <c r="M114" t="s">
        <v>30</v>
      </c>
      <c r="N114" t="s">
        <v>71</v>
      </c>
      <c r="O114" t="s">
        <v>116</v>
      </c>
      <c r="P114" t="s">
        <v>117</v>
      </c>
      <c r="Q114" t="s">
        <v>47</v>
      </c>
      <c r="R114" t="s">
        <v>497</v>
      </c>
      <c r="S114" t="s">
        <v>35</v>
      </c>
      <c r="T114" t="s">
        <v>49</v>
      </c>
      <c r="U114" t="s">
        <v>50</v>
      </c>
      <c r="V114" t="s">
        <v>378</v>
      </c>
      <c r="W114" t="s">
        <v>52</v>
      </c>
    </row>
    <row r="115" spans="1:23" x14ac:dyDescent="0.3">
      <c r="A115" t="s">
        <v>607</v>
      </c>
      <c r="B115" t="s">
        <v>146</v>
      </c>
      <c r="C115" t="s">
        <v>608</v>
      </c>
      <c r="D115" t="s">
        <v>40</v>
      </c>
      <c r="E115" t="s">
        <v>412</v>
      </c>
      <c r="F115" t="s">
        <v>79</v>
      </c>
      <c r="G115" t="s">
        <v>609</v>
      </c>
      <c r="H115">
        <v>1599</v>
      </c>
      <c r="I115">
        <v>1</v>
      </c>
      <c r="J115">
        <v>1599</v>
      </c>
      <c r="K115" t="s">
        <v>598</v>
      </c>
      <c r="L115">
        <v>40</v>
      </c>
      <c r="M115" t="s">
        <v>45</v>
      </c>
      <c r="N115" t="s">
        <v>31</v>
      </c>
      <c r="O115" t="s">
        <v>129</v>
      </c>
      <c r="P115" t="s">
        <v>130</v>
      </c>
      <c r="Q115" t="s">
        <v>47</v>
      </c>
      <c r="R115" t="s">
        <v>475</v>
      </c>
      <c r="S115" t="s">
        <v>35</v>
      </c>
      <c r="T115" t="s">
        <v>36</v>
      </c>
      <c r="W115" t="s">
        <v>37</v>
      </c>
    </row>
    <row r="116" spans="1:23" x14ac:dyDescent="0.3">
      <c r="A116" t="s">
        <v>610</v>
      </c>
      <c r="B116" t="s">
        <v>146</v>
      </c>
      <c r="C116" t="s">
        <v>611</v>
      </c>
      <c r="D116" t="s">
        <v>26</v>
      </c>
      <c r="E116" t="s">
        <v>612</v>
      </c>
      <c r="F116" t="s">
        <v>58</v>
      </c>
      <c r="G116" t="s">
        <v>286</v>
      </c>
      <c r="H116">
        <v>1899</v>
      </c>
      <c r="I116">
        <v>1</v>
      </c>
      <c r="J116">
        <v>1899</v>
      </c>
      <c r="K116" t="s">
        <v>598</v>
      </c>
      <c r="L116">
        <v>40</v>
      </c>
      <c r="M116" t="s">
        <v>60</v>
      </c>
      <c r="N116" t="s">
        <v>46</v>
      </c>
      <c r="O116" t="s">
        <v>72</v>
      </c>
      <c r="P116" t="s">
        <v>73</v>
      </c>
      <c r="Q116" t="s">
        <v>61</v>
      </c>
      <c r="S116" t="s">
        <v>137</v>
      </c>
      <c r="T116" t="s">
        <v>36</v>
      </c>
      <c r="W116" t="s">
        <v>37</v>
      </c>
    </row>
    <row r="117" spans="1:23" x14ac:dyDescent="0.3">
      <c r="A117" t="s">
        <v>613</v>
      </c>
      <c r="B117" t="s">
        <v>418</v>
      </c>
      <c r="C117" t="s">
        <v>614</v>
      </c>
      <c r="D117" t="s">
        <v>26</v>
      </c>
      <c r="E117" t="s">
        <v>615</v>
      </c>
      <c r="F117" t="s">
        <v>42</v>
      </c>
      <c r="G117" t="s">
        <v>616</v>
      </c>
      <c r="H117">
        <v>4299</v>
      </c>
      <c r="I117">
        <v>1</v>
      </c>
      <c r="J117">
        <v>4299</v>
      </c>
      <c r="K117" t="s">
        <v>598</v>
      </c>
      <c r="L117">
        <v>40</v>
      </c>
      <c r="M117" t="s">
        <v>70</v>
      </c>
      <c r="N117" t="s">
        <v>31</v>
      </c>
      <c r="O117" t="s">
        <v>86</v>
      </c>
      <c r="P117" t="s">
        <v>87</v>
      </c>
      <c r="Q117" t="s">
        <v>61</v>
      </c>
      <c r="R117" t="s">
        <v>210</v>
      </c>
      <c r="S117" t="s">
        <v>35</v>
      </c>
      <c r="T117" t="s">
        <v>49</v>
      </c>
      <c r="U117" t="s">
        <v>75</v>
      </c>
      <c r="V117" t="s">
        <v>397</v>
      </c>
      <c r="W117" t="s">
        <v>52</v>
      </c>
    </row>
    <row r="118" spans="1:23" x14ac:dyDescent="0.3">
      <c r="A118" t="s">
        <v>617</v>
      </c>
      <c r="B118" t="s">
        <v>418</v>
      </c>
      <c r="C118" t="s">
        <v>618</v>
      </c>
      <c r="D118" t="s">
        <v>26</v>
      </c>
      <c r="E118" t="s">
        <v>619</v>
      </c>
      <c r="F118" t="s">
        <v>28</v>
      </c>
      <c r="G118" t="s">
        <v>620</v>
      </c>
      <c r="H118">
        <v>2599</v>
      </c>
      <c r="I118">
        <v>1</v>
      </c>
      <c r="J118">
        <v>2599</v>
      </c>
      <c r="K118" t="s">
        <v>598</v>
      </c>
      <c r="L118">
        <v>40</v>
      </c>
      <c r="M118" t="s">
        <v>30</v>
      </c>
      <c r="N118" t="s">
        <v>71</v>
      </c>
      <c r="O118" t="s">
        <v>95</v>
      </c>
      <c r="P118" t="s">
        <v>33</v>
      </c>
      <c r="Q118" t="s">
        <v>32</v>
      </c>
      <c r="R118" t="s">
        <v>537</v>
      </c>
      <c r="S118" t="s">
        <v>35</v>
      </c>
      <c r="T118" t="s">
        <v>49</v>
      </c>
      <c r="U118" t="s">
        <v>89</v>
      </c>
      <c r="V118" t="s">
        <v>440</v>
      </c>
      <c r="W118" t="s">
        <v>121</v>
      </c>
    </row>
    <row r="119" spans="1:23" x14ac:dyDescent="0.3">
      <c r="A119" t="s">
        <v>621</v>
      </c>
      <c r="B119" t="s">
        <v>418</v>
      </c>
      <c r="C119" t="s">
        <v>622</v>
      </c>
      <c r="D119" t="s">
        <v>26</v>
      </c>
      <c r="E119" t="s">
        <v>540</v>
      </c>
      <c r="F119" t="s">
        <v>67</v>
      </c>
      <c r="G119" t="s">
        <v>623</v>
      </c>
      <c r="H119">
        <v>3999</v>
      </c>
      <c r="I119">
        <v>1</v>
      </c>
      <c r="J119">
        <v>3999</v>
      </c>
      <c r="K119" t="s">
        <v>598</v>
      </c>
      <c r="L119">
        <v>40</v>
      </c>
      <c r="M119" t="s">
        <v>45</v>
      </c>
      <c r="N119" t="s">
        <v>46</v>
      </c>
      <c r="O119" t="s">
        <v>624</v>
      </c>
      <c r="P119" t="s">
        <v>136</v>
      </c>
      <c r="Q119" t="s">
        <v>47</v>
      </c>
      <c r="R119" t="s">
        <v>550</v>
      </c>
      <c r="S119" t="s">
        <v>35</v>
      </c>
      <c r="T119" t="s">
        <v>49</v>
      </c>
      <c r="U119" t="s">
        <v>50</v>
      </c>
      <c r="V119" t="s">
        <v>476</v>
      </c>
      <c r="W119" t="s">
        <v>52</v>
      </c>
    </row>
    <row r="120" spans="1:23" x14ac:dyDescent="0.3">
      <c r="A120" t="s">
        <v>625</v>
      </c>
      <c r="B120" t="s">
        <v>418</v>
      </c>
      <c r="C120" t="s">
        <v>626</v>
      </c>
      <c r="D120" t="s">
        <v>40</v>
      </c>
      <c r="E120" t="s">
        <v>627</v>
      </c>
      <c r="F120" t="s">
        <v>42</v>
      </c>
      <c r="G120" t="s">
        <v>628</v>
      </c>
      <c r="H120">
        <v>8999</v>
      </c>
      <c r="I120">
        <v>1</v>
      </c>
      <c r="J120">
        <v>8999</v>
      </c>
      <c r="K120" t="s">
        <v>598</v>
      </c>
      <c r="L120">
        <v>40</v>
      </c>
      <c r="M120" t="s">
        <v>45</v>
      </c>
      <c r="N120" t="s">
        <v>31</v>
      </c>
      <c r="O120" t="s">
        <v>108</v>
      </c>
      <c r="P120" t="s">
        <v>109</v>
      </c>
      <c r="Q120" t="s">
        <v>32</v>
      </c>
      <c r="R120" t="s">
        <v>537</v>
      </c>
      <c r="S120" t="s">
        <v>35</v>
      </c>
      <c r="T120" t="s">
        <v>49</v>
      </c>
      <c r="U120" t="s">
        <v>50</v>
      </c>
      <c r="V120" t="s">
        <v>515</v>
      </c>
      <c r="W120" t="s">
        <v>52</v>
      </c>
    </row>
    <row r="121" spans="1:23" x14ac:dyDescent="0.3">
      <c r="A121" t="s">
        <v>629</v>
      </c>
      <c r="B121" t="s">
        <v>418</v>
      </c>
      <c r="C121" t="s">
        <v>630</v>
      </c>
      <c r="D121" t="s">
        <v>26</v>
      </c>
      <c r="E121" t="s">
        <v>631</v>
      </c>
      <c r="F121" t="s">
        <v>79</v>
      </c>
      <c r="G121" t="s">
        <v>632</v>
      </c>
      <c r="H121">
        <v>1299</v>
      </c>
      <c r="I121">
        <v>2</v>
      </c>
      <c r="J121">
        <v>2598</v>
      </c>
      <c r="K121" t="s">
        <v>598</v>
      </c>
      <c r="L121">
        <v>40</v>
      </c>
      <c r="M121" t="s">
        <v>60</v>
      </c>
      <c r="N121" t="s">
        <v>71</v>
      </c>
      <c r="O121" t="s">
        <v>101</v>
      </c>
      <c r="P121" t="s">
        <v>102</v>
      </c>
      <c r="Q121" t="s">
        <v>47</v>
      </c>
      <c r="R121" t="s">
        <v>228</v>
      </c>
      <c r="S121" t="s">
        <v>35</v>
      </c>
      <c r="T121" t="s">
        <v>49</v>
      </c>
      <c r="U121" t="s">
        <v>158</v>
      </c>
      <c r="V121" t="s">
        <v>467</v>
      </c>
      <c r="W121" t="s">
        <v>52</v>
      </c>
    </row>
    <row r="122" spans="1:23" x14ac:dyDescent="0.3">
      <c r="A122" t="s">
        <v>633</v>
      </c>
      <c r="B122" t="s">
        <v>418</v>
      </c>
      <c r="C122" t="s">
        <v>634</v>
      </c>
      <c r="D122" t="s">
        <v>26</v>
      </c>
      <c r="E122" t="s">
        <v>635</v>
      </c>
      <c r="F122" t="s">
        <v>28</v>
      </c>
      <c r="G122" t="s">
        <v>636</v>
      </c>
      <c r="H122">
        <v>1999</v>
      </c>
      <c r="I122">
        <v>1</v>
      </c>
      <c r="J122">
        <v>1999</v>
      </c>
      <c r="K122" t="s">
        <v>598</v>
      </c>
      <c r="L122">
        <v>40</v>
      </c>
      <c r="M122" t="s">
        <v>30</v>
      </c>
      <c r="N122" t="s">
        <v>46</v>
      </c>
      <c r="O122" t="s">
        <v>61</v>
      </c>
      <c r="P122" t="s">
        <v>62</v>
      </c>
      <c r="Q122" t="s">
        <v>61</v>
      </c>
      <c r="R122" t="s">
        <v>550</v>
      </c>
      <c r="S122" t="s">
        <v>35</v>
      </c>
      <c r="T122" t="s">
        <v>49</v>
      </c>
      <c r="U122" t="s">
        <v>75</v>
      </c>
      <c r="V122" t="s">
        <v>498</v>
      </c>
      <c r="W122" t="s">
        <v>52</v>
      </c>
    </row>
    <row r="123" spans="1:23" x14ac:dyDescent="0.3">
      <c r="A123" t="s">
        <v>637</v>
      </c>
      <c r="B123" t="s">
        <v>179</v>
      </c>
      <c r="C123" t="s">
        <v>638</v>
      </c>
      <c r="D123" t="s">
        <v>26</v>
      </c>
      <c r="E123" t="s">
        <v>639</v>
      </c>
      <c r="F123" t="s">
        <v>58</v>
      </c>
      <c r="G123" t="s">
        <v>640</v>
      </c>
      <c r="H123">
        <v>5499</v>
      </c>
      <c r="I123">
        <v>1</v>
      </c>
      <c r="J123">
        <v>5499</v>
      </c>
      <c r="K123" t="s">
        <v>598</v>
      </c>
      <c r="L123">
        <v>40</v>
      </c>
      <c r="M123" t="s">
        <v>128</v>
      </c>
      <c r="N123" t="s">
        <v>31</v>
      </c>
      <c r="O123" t="s">
        <v>177</v>
      </c>
      <c r="P123" t="s">
        <v>109</v>
      </c>
      <c r="Q123" t="s">
        <v>32</v>
      </c>
      <c r="R123" t="s">
        <v>228</v>
      </c>
      <c r="S123" t="s">
        <v>35</v>
      </c>
      <c r="T123" t="s">
        <v>49</v>
      </c>
      <c r="U123" t="s">
        <v>50</v>
      </c>
      <c r="V123" t="s">
        <v>476</v>
      </c>
      <c r="W123" t="s">
        <v>52</v>
      </c>
    </row>
    <row r="124" spans="1:23" x14ac:dyDescent="0.3">
      <c r="A124" t="s">
        <v>641</v>
      </c>
      <c r="B124" t="s">
        <v>179</v>
      </c>
      <c r="C124" t="s">
        <v>642</v>
      </c>
      <c r="D124" t="s">
        <v>26</v>
      </c>
      <c r="E124" t="s">
        <v>643</v>
      </c>
      <c r="F124" t="s">
        <v>42</v>
      </c>
      <c r="G124" t="s">
        <v>644</v>
      </c>
      <c r="H124">
        <v>6999</v>
      </c>
      <c r="I124">
        <v>1</v>
      </c>
      <c r="J124">
        <v>6999</v>
      </c>
      <c r="K124" t="s">
        <v>598</v>
      </c>
      <c r="L124">
        <v>40</v>
      </c>
      <c r="M124" t="s">
        <v>45</v>
      </c>
      <c r="N124" t="s">
        <v>71</v>
      </c>
      <c r="O124" t="s">
        <v>32</v>
      </c>
      <c r="P124" t="s">
        <v>33</v>
      </c>
      <c r="Q124" t="s">
        <v>32</v>
      </c>
      <c r="R124" t="s">
        <v>585</v>
      </c>
      <c r="S124" t="s">
        <v>35</v>
      </c>
      <c r="T124" t="s">
        <v>49</v>
      </c>
      <c r="U124" t="s">
        <v>50</v>
      </c>
      <c r="V124" t="s">
        <v>498</v>
      </c>
      <c r="W124" t="s">
        <v>52</v>
      </c>
    </row>
    <row r="125" spans="1:23" x14ac:dyDescent="0.3">
      <c r="A125" t="s">
        <v>645</v>
      </c>
      <c r="B125" t="s">
        <v>179</v>
      </c>
      <c r="C125" t="s">
        <v>646</v>
      </c>
      <c r="D125" t="s">
        <v>40</v>
      </c>
      <c r="E125" t="s">
        <v>647</v>
      </c>
      <c r="F125" t="s">
        <v>67</v>
      </c>
      <c r="G125" t="s">
        <v>648</v>
      </c>
      <c r="H125">
        <v>4999</v>
      </c>
      <c r="I125">
        <v>1</v>
      </c>
      <c r="J125">
        <v>4999</v>
      </c>
      <c r="K125" t="s">
        <v>598</v>
      </c>
      <c r="L125">
        <v>40</v>
      </c>
      <c r="M125" t="s">
        <v>70</v>
      </c>
      <c r="N125" t="s">
        <v>46</v>
      </c>
      <c r="O125" t="s">
        <v>47</v>
      </c>
      <c r="P125" t="s">
        <v>47</v>
      </c>
      <c r="Q125" t="s">
        <v>47</v>
      </c>
      <c r="R125" t="s">
        <v>249</v>
      </c>
      <c r="S125" t="s">
        <v>35</v>
      </c>
      <c r="T125" t="s">
        <v>36</v>
      </c>
      <c r="W125" t="s">
        <v>37</v>
      </c>
    </row>
    <row r="126" spans="1:23" x14ac:dyDescent="0.3">
      <c r="A126" t="s">
        <v>649</v>
      </c>
      <c r="B126" t="s">
        <v>179</v>
      </c>
      <c r="C126" t="s">
        <v>650</v>
      </c>
      <c r="D126" t="s">
        <v>26</v>
      </c>
      <c r="E126" t="s">
        <v>651</v>
      </c>
      <c r="F126" t="s">
        <v>79</v>
      </c>
      <c r="G126" t="s">
        <v>652</v>
      </c>
      <c r="H126">
        <v>899</v>
      </c>
      <c r="I126">
        <v>1</v>
      </c>
      <c r="J126">
        <v>899</v>
      </c>
      <c r="K126" t="s">
        <v>598</v>
      </c>
      <c r="L126">
        <v>40</v>
      </c>
      <c r="M126" t="s">
        <v>30</v>
      </c>
      <c r="N126" t="s">
        <v>31</v>
      </c>
      <c r="O126" t="s">
        <v>653</v>
      </c>
      <c r="P126" t="s">
        <v>130</v>
      </c>
      <c r="Q126" t="s">
        <v>47</v>
      </c>
      <c r="R126" t="s">
        <v>249</v>
      </c>
      <c r="S126" t="s">
        <v>35</v>
      </c>
      <c r="T126" t="s">
        <v>36</v>
      </c>
      <c r="W126" t="s">
        <v>37</v>
      </c>
    </row>
    <row r="127" spans="1:23" x14ac:dyDescent="0.3">
      <c r="A127" t="s">
        <v>654</v>
      </c>
      <c r="B127" t="s">
        <v>179</v>
      </c>
      <c r="C127" t="s">
        <v>655</v>
      </c>
      <c r="D127" t="s">
        <v>26</v>
      </c>
      <c r="E127" t="s">
        <v>656</v>
      </c>
      <c r="F127" t="s">
        <v>28</v>
      </c>
      <c r="G127" t="s">
        <v>657</v>
      </c>
      <c r="H127">
        <v>3299</v>
      </c>
      <c r="I127">
        <v>1</v>
      </c>
      <c r="J127">
        <v>3299</v>
      </c>
      <c r="K127" t="s">
        <v>598</v>
      </c>
      <c r="L127">
        <v>40</v>
      </c>
      <c r="M127" t="s">
        <v>60</v>
      </c>
      <c r="N127" t="s">
        <v>71</v>
      </c>
      <c r="O127" t="s">
        <v>116</v>
      </c>
      <c r="P127" t="s">
        <v>117</v>
      </c>
      <c r="Q127" t="s">
        <v>47</v>
      </c>
      <c r="R127" t="s">
        <v>274</v>
      </c>
      <c r="S127" t="s">
        <v>35</v>
      </c>
      <c r="T127" t="s">
        <v>49</v>
      </c>
      <c r="U127" t="s">
        <v>119</v>
      </c>
      <c r="V127" t="s">
        <v>528</v>
      </c>
      <c r="W127" t="s">
        <v>121</v>
      </c>
    </row>
    <row r="128" spans="1:23" x14ac:dyDescent="0.3">
      <c r="A128" t="s">
        <v>658</v>
      </c>
      <c r="B128" t="s">
        <v>445</v>
      </c>
      <c r="C128" t="s">
        <v>659</v>
      </c>
      <c r="D128" t="s">
        <v>26</v>
      </c>
      <c r="E128" t="s">
        <v>660</v>
      </c>
      <c r="F128" t="s">
        <v>42</v>
      </c>
      <c r="G128" t="s">
        <v>661</v>
      </c>
      <c r="H128">
        <v>7499</v>
      </c>
      <c r="I128">
        <v>1</v>
      </c>
      <c r="J128">
        <v>7499</v>
      </c>
      <c r="K128" t="s">
        <v>598</v>
      </c>
      <c r="L128">
        <v>40</v>
      </c>
      <c r="M128" t="s">
        <v>45</v>
      </c>
      <c r="N128" t="s">
        <v>31</v>
      </c>
      <c r="O128" t="s">
        <v>129</v>
      </c>
      <c r="P128" t="s">
        <v>130</v>
      </c>
      <c r="Q128" t="s">
        <v>47</v>
      </c>
      <c r="R128" t="s">
        <v>662</v>
      </c>
      <c r="S128" t="s">
        <v>35</v>
      </c>
      <c r="T128" t="s">
        <v>49</v>
      </c>
      <c r="U128" t="s">
        <v>50</v>
      </c>
      <c r="V128" t="s">
        <v>559</v>
      </c>
      <c r="W128" t="s">
        <v>52</v>
      </c>
    </row>
    <row r="129" spans="1:23" x14ac:dyDescent="0.3">
      <c r="A129" t="s">
        <v>663</v>
      </c>
      <c r="B129" t="s">
        <v>445</v>
      </c>
      <c r="C129" t="s">
        <v>664</v>
      </c>
      <c r="D129" t="s">
        <v>26</v>
      </c>
      <c r="E129" t="s">
        <v>665</v>
      </c>
      <c r="F129" t="s">
        <v>58</v>
      </c>
      <c r="G129" t="s">
        <v>666</v>
      </c>
      <c r="H129">
        <v>3299</v>
      </c>
      <c r="I129">
        <v>1</v>
      </c>
      <c r="J129">
        <v>3299</v>
      </c>
      <c r="K129" t="s">
        <v>598</v>
      </c>
      <c r="L129">
        <v>40</v>
      </c>
      <c r="M129" t="s">
        <v>30</v>
      </c>
      <c r="N129" t="s">
        <v>46</v>
      </c>
      <c r="O129" t="s">
        <v>135</v>
      </c>
      <c r="P129" t="s">
        <v>136</v>
      </c>
      <c r="Q129" t="s">
        <v>47</v>
      </c>
      <c r="R129" t="s">
        <v>274</v>
      </c>
      <c r="S129" t="s">
        <v>35</v>
      </c>
      <c r="T129" t="s">
        <v>49</v>
      </c>
      <c r="U129" t="s">
        <v>89</v>
      </c>
      <c r="V129" t="s">
        <v>551</v>
      </c>
      <c r="W129" t="s">
        <v>52</v>
      </c>
    </row>
    <row r="130" spans="1:23" x14ac:dyDescent="0.3">
      <c r="A130" t="s">
        <v>667</v>
      </c>
      <c r="B130" t="s">
        <v>445</v>
      </c>
      <c r="C130" t="s">
        <v>668</v>
      </c>
      <c r="D130" t="s">
        <v>40</v>
      </c>
      <c r="E130" t="s">
        <v>452</v>
      </c>
      <c r="F130" t="s">
        <v>67</v>
      </c>
      <c r="G130" t="s">
        <v>669</v>
      </c>
      <c r="H130">
        <v>5499</v>
      </c>
      <c r="I130">
        <v>1</v>
      </c>
      <c r="J130">
        <v>5499</v>
      </c>
      <c r="K130" t="s">
        <v>598</v>
      </c>
      <c r="L130">
        <v>40</v>
      </c>
      <c r="M130" t="s">
        <v>70</v>
      </c>
      <c r="N130" t="s">
        <v>71</v>
      </c>
      <c r="O130" t="s">
        <v>156</v>
      </c>
      <c r="P130" t="s">
        <v>130</v>
      </c>
      <c r="Q130" t="s">
        <v>47</v>
      </c>
      <c r="R130" t="s">
        <v>670</v>
      </c>
      <c r="S130" t="s">
        <v>35</v>
      </c>
      <c r="T130" t="s">
        <v>49</v>
      </c>
      <c r="U130" t="s">
        <v>75</v>
      </c>
      <c r="V130" t="s">
        <v>671</v>
      </c>
      <c r="W130" t="s">
        <v>52</v>
      </c>
    </row>
    <row r="131" spans="1:23" x14ac:dyDescent="0.3">
      <c r="A131" t="s">
        <v>672</v>
      </c>
      <c r="B131" t="s">
        <v>445</v>
      </c>
      <c r="C131" t="s">
        <v>673</v>
      </c>
      <c r="D131" t="s">
        <v>26</v>
      </c>
      <c r="E131" t="s">
        <v>674</v>
      </c>
      <c r="F131" t="s">
        <v>79</v>
      </c>
      <c r="G131" t="s">
        <v>675</v>
      </c>
      <c r="H131">
        <v>1199</v>
      </c>
      <c r="I131">
        <v>1</v>
      </c>
      <c r="J131">
        <v>1199</v>
      </c>
      <c r="K131" t="s">
        <v>598</v>
      </c>
      <c r="L131">
        <v>40</v>
      </c>
      <c r="M131" t="s">
        <v>60</v>
      </c>
      <c r="N131" t="s">
        <v>31</v>
      </c>
      <c r="O131" t="s">
        <v>164</v>
      </c>
      <c r="P131" t="s">
        <v>165</v>
      </c>
      <c r="Q131" t="s">
        <v>47</v>
      </c>
      <c r="S131" t="s">
        <v>137</v>
      </c>
      <c r="T131" t="s">
        <v>36</v>
      </c>
      <c r="W131" t="s">
        <v>37</v>
      </c>
    </row>
    <row r="132" spans="1:23" x14ac:dyDescent="0.3">
      <c r="A132" t="s">
        <v>676</v>
      </c>
      <c r="B132" t="s">
        <v>445</v>
      </c>
      <c r="C132" t="s">
        <v>677</v>
      </c>
      <c r="D132" t="s">
        <v>26</v>
      </c>
      <c r="E132" t="s">
        <v>678</v>
      </c>
      <c r="F132" t="s">
        <v>28</v>
      </c>
      <c r="G132" t="s">
        <v>679</v>
      </c>
      <c r="H132">
        <v>2799</v>
      </c>
      <c r="I132">
        <v>1</v>
      </c>
      <c r="J132">
        <v>2799</v>
      </c>
      <c r="K132" t="s">
        <v>598</v>
      </c>
      <c r="L132">
        <v>40</v>
      </c>
      <c r="M132" t="s">
        <v>128</v>
      </c>
      <c r="N132" t="s">
        <v>46</v>
      </c>
      <c r="O132" t="s">
        <v>171</v>
      </c>
      <c r="P132" t="s">
        <v>172</v>
      </c>
      <c r="Q132" t="s">
        <v>32</v>
      </c>
      <c r="R132" t="s">
        <v>274</v>
      </c>
      <c r="S132" t="s">
        <v>35</v>
      </c>
      <c r="T132" t="s">
        <v>49</v>
      </c>
      <c r="U132" t="s">
        <v>50</v>
      </c>
      <c r="V132" t="s">
        <v>572</v>
      </c>
      <c r="W132" t="s">
        <v>52</v>
      </c>
    </row>
    <row r="133" spans="1:23" x14ac:dyDescent="0.3">
      <c r="A133" t="s">
        <v>680</v>
      </c>
      <c r="B133" t="s">
        <v>454</v>
      </c>
      <c r="C133" t="s">
        <v>681</v>
      </c>
      <c r="D133" t="s">
        <v>26</v>
      </c>
      <c r="E133" t="s">
        <v>682</v>
      </c>
      <c r="F133" t="s">
        <v>42</v>
      </c>
      <c r="G133" t="s">
        <v>683</v>
      </c>
      <c r="H133">
        <v>3899</v>
      </c>
      <c r="I133">
        <v>1</v>
      </c>
      <c r="J133">
        <v>3899</v>
      </c>
      <c r="K133" t="s">
        <v>598</v>
      </c>
      <c r="L133">
        <v>40</v>
      </c>
      <c r="M133" t="s">
        <v>45</v>
      </c>
      <c r="N133" t="s">
        <v>71</v>
      </c>
      <c r="O133" t="s">
        <v>177</v>
      </c>
      <c r="P133" t="s">
        <v>109</v>
      </c>
      <c r="Q133" t="s">
        <v>32</v>
      </c>
      <c r="R133" t="s">
        <v>249</v>
      </c>
      <c r="S133" t="s">
        <v>35</v>
      </c>
      <c r="T133" t="s">
        <v>49</v>
      </c>
      <c r="U133" t="s">
        <v>119</v>
      </c>
      <c r="V133" t="s">
        <v>528</v>
      </c>
      <c r="W133" t="s">
        <v>52</v>
      </c>
    </row>
    <row r="134" spans="1:23" x14ac:dyDescent="0.3">
      <c r="A134" t="s">
        <v>684</v>
      </c>
      <c r="B134" t="s">
        <v>454</v>
      </c>
      <c r="C134" t="s">
        <v>685</v>
      </c>
      <c r="D134" t="s">
        <v>26</v>
      </c>
      <c r="E134" t="s">
        <v>686</v>
      </c>
      <c r="F134" t="s">
        <v>58</v>
      </c>
      <c r="G134" t="s">
        <v>687</v>
      </c>
      <c r="H134">
        <v>2999</v>
      </c>
      <c r="I134">
        <v>1</v>
      </c>
      <c r="J134">
        <v>2999</v>
      </c>
      <c r="K134" t="s">
        <v>598</v>
      </c>
      <c r="L134">
        <v>40</v>
      </c>
      <c r="M134" t="s">
        <v>30</v>
      </c>
      <c r="N134" t="s">
        <v>31</v>
      </c>
      <c r="O134" t="s">
        <v>184</v>
      </c>
      <c r="P134" t="s">
        <v>185</v>
      </c>
      <c r="Q134" t="s">
        <v>47</v>
      </c>
      <c r="R134" t="s">
        <v>662</v>
      </c>
      <c r="S134" t="s">
        <v>35</v>
      </c>
      <c r="T134" t="s">
        <v>36</v>
      </c>
      <c r="W134" t="s">
        <v>37</v>
      </c>
    </row>
    <row r="135" spans="1:23" x14ac:dyDescent="0.3">
      <c r="A135" t="s">
        <v>688</v>
      </c>
      <c r="B135" t="s">
        <v>454</v>
      </c>
      <c r="C135" t="s">
        <v>689</v>
      </c>
      <c r="D135" t="s">
        <v>40</v>
      </c>
      <c r="E135" t="s">
        <v>690</v>
      </c>
      <c r="F135" t="s">
        <v>67</v>
      </c>
      <c r="G135" t="s">
        <v>691</v>
      </c>
      <c r="H135">
        <v>6499</v>
      </c>
      <c r="I135">
        <v>1</v>
      </c>
      <c r="J135">
        <v>6499</v>
      </c>
      <c r="K135" t="s">
        <v>598</v>
      </c>
      <c r="L135">
        <v>40</v>
      </c>
      <c r="M135" t="s">
        <v>45</v>
      </c>
      <c r="N135" t="s">
        <v>46</v>
      </c>
      <c r="O135" t="s">
        <v>190</v>
      </c>
      <c r="P135" t="s">
        <v>172</v>
      </c>
      <c r="Q135" t="s">
        <v>32</v>
      </c>
      <c r="R135" t="s">
        <v>670</v>
      </c>
      <c r="S135" t="s">
        <v>35</v>
      </c>
      <c r="T135" t="s">
        <v>49</v>
      </c>
      <c r="U135" t="s">
        <v>50</v>
      </c>
      <c r="V135" t="s">
        <v>692</v>
      </c>
      <c r="W135" t="s">
        <v>52</v>
      </c>
    </row>
    <row r="136" spans="1:23" x14ac:dyDescent="0.3">
      <c r="A136" t="s">
        <v>693</v>
      </c>
      <c r="B136" t="s">
        <v>454</v>
      </c>
      <c r="C136" t="s">
        <v>694</v>
      </c>
      <c r="D136" t="s">
        <v>26</v>
      </c>
      <c r="E136" t="s">
        <v>695</v>
      </c>
      <c r="F136" t="s">
        <v>79</v>
      </c>
      <c r="G136" t="s">
        <v>696</v>
      </c>
      <c r="H136">
        <v>999</v>
      </c>
      <c r="I136">
        <v>2</v>
      </c>
      <c r="J136">
        <v>1998</v>
      </c>
      <c r="K136" t="s">
        <v>598</v>
      </c>
      <c r="L136">
        <v>40</v>
      </c>
      <c r="M136" t="s">
        <v>70</v>
      </c>
      <c r="N136" t="s">
        <v>71</v>
      </c>
      <c r="O136" t="s">
        <v>195</v>
      </c>
      <c r="P136" t="s">
        <v>33</v>
      </c>
      <c r="Q136" t="s">
        <v>32</v>
      </c>
      <c r="R136" t="s">
        <v>662</v>
      </c>
      <c r="S136" t="s">
        <v>35</v>
      </c>
      <c r="T136" t="s">
        <v>36</v>
      </c>
      <c r="W136" t="s">
        <v>37</v>
      </c>
    </row>
    <row r="137" spans="1:23" x14ac:dyDescent="0.3">
      <c r="A137" t="s">
        <v>697</v>
      </c>
      <c r="B137" t="s">
        <v>197</v>
      </c>
      <c r="C137" t="s">
        <v>698</v>
      </c>
      <c r="D137" t="s">
        <v>26</v>
      </c>
      <c r="E137" t="s">
        <v>699</v>
      </c>
      <c r="F137" t="s">
        <v>28</v>
      </c>
      <c r="G137" t="s">
        <v>700</v>
      </c>
      <c r="H137">
        <v>2499</v>
      </c>
      <c r="I137">
        <v>1</v>
      </c>
      <c r="J137">
        <v>2499</v>
      </c>
      <c r="K137" t="s">
        <v>598</v>
      </c>
      <c r="L137">
        <v>40</v>
      </c>
      <c r="M137" t="s">
        <v>60</v>
      </c>
      <c r="N137" t="s">
        <v>31</v>
      </c>
      <c r="O137" t="s">
        <v>202</v>
      </c>
      <c r="P137" t="s">
        <v>73</v>
      </c>
      <c r="Q137" t="s">
        <v>61</v>
      </c>
      <c r="R137" t="s">
        <v>274</v>
      </c>
      <c r="S137" t="s">
        <v>35</v>
      </c>
      <c r="T137" t="s">
        <v>49</v>
      </c>
      <c r="U137" t="s">
        <v>75</v>
      </c>
      <c r="V137" t="s">
        <v>671</v>
      </c>
      <c r="W137" t="s">
        <v>52</v>
      </c>
    </row>
    <row r="138" spans="1:23" x14ac:dyDescent="0.3">
      <c r="A138" t="s">
        <v>701</v>
      </c>
      <c r="B138" t="s">
        <v>197</v>
      </c>
      <c r="C138" t="s">
        <v>702</v>
      </c>
      <c r="D138" t="s">
        <v>26</v>
      </c>
      <c r="E138" t="s">
        <v>703</v>
      </c>
      <c r="F138" t="s">
        <v>42</v>
      </c>
      <c r="G138" t="s">
        <v>704</v>
      </c>
      <c r="H138">
        <v>4599</v>
      </c>
      <c r="I138">
        <v>1</v>
      </c>
      <c r="J138">
        <v>4599</v>
      </c>
      <c r="K138" t="s">
        <v>598</v>
      </c>
      <c r="L138">
        <v>40</v>
      </c>
      <c r="M138" t="s">
        <v>30</v>
      </c>
      <c r="N138" t="s">
        <v>46</v>
      </c>
      <c r="O138" t="s">
        <v>208</v>
      </c>
      <c r="P138" t="s">
        <v>209</v>
      </c>
      <c r="Q138" t="s">
        <v>61</v>
      </c>
      <c r="R138" t="s">
        <v>332</v>
      </c>
      <c r="S138" t="s">
        <v>35</v>
      </c>
      <c r="T138" t="s">
        <v>49</v>
      </c>
      <c r="U138" t="s">
        <v>50</v>
      </c>
      <c r="V138" t="s">
        <v>705</v>
      </c>
      <c r="W138" t="s">
        <v>52</v>
      </c>
    </row>
    <row r="139" spans="1:23" x14ac:dyDescent="0.3">
      <c r="A139" t="s">
        <v>706</v>
      </c>
      <c r="B139" t="s">
        <v>197</v>
      </c>
      <c r="C139" t="s">
        <v>707</v>
      </c>
      <c r="D139" t="s">
        <v>26</v>
      </c>
      <c r="E139" t="s">
        <v>708</v>
      </c>
      <c r="F139" t="s">
        <v>58</v>
      </c>
      <c r="G139" t="s">
        <v>709</v>
      </c>
      <c r="H139">
        <v>1799</v>
      </c>
      <c r="I139">
        <v>1</v>
      </c>
      <c r="J139">
        <v>1799</v>
      </c>
      <c r="K139" t="s">
        <v>598</v>
      </c>
      <c r="L139">
        <v>40</v>
      </c>
      <c r="M139" t="s">
        <v>45</v>
      </c>
      <c r="N139" t="s">
        <v>71</v>
      </c>
      <c r="O139" t="s">
        <v>215</v>
      </c>
      <c r="P139" t="s">
        <v>216</v>
      </c>
      <c r="Q139" t="s">
        <v>61</v>
      </c>
      <c r="R139" t="s">
        <v>670</v>
      </c>
      <c r="S139" t="s">
        <v>35</v>
      </c>
      <c r="T139" t="s">
        <v>36</v>
      </c>
      <c r="W139" t="s">
        <v>37</v>
      </c>
    </row>
    <row r="140" spans="1:23" x14ac:dyDescent="0.3">
      <c r="A140" t="s">
        <v>710</v>
      </c>
      <c r="B140" t="s">
        <v>197</v>
      </c>
      <c r="C140" t="s">
        <v>711</v>
      </c>
      <c r="D140" t="s">
        <v>40</v>
      </c>
      <c r="E140" t="s">
        <v>712</v>
      </c>
      <c r="F140" t="s">
        <v>67</v>
      </c>
      <c r="G140" t="s">
        <v>713</v>
      </c>
      <c r="H140">
        <v>7999</v>
      </c>
      <c r="I140">
        <v>1</v>
      </c>
      <c r="J140">
        <v>7999</v>
      </c>
      <c r="K140" t="s">
        <v>598</v>
      </c>
      <c r="L140">
        <v>40</v>
      </c>
      <c r="M140" t="s">
        <v>128</v>
      </c>
      <c r="N140" t="s">
        <v>31</v>
      </c>
      <c r="O140" t="s">
        <v>221</v>
      </c>
      <c r="P140" t="s">
        <v>209</v>
      </c>
      <c r="Q140" t="s">
        <v>61</v>
      </c>
      <c r="R140" t="s">
        <v>319</v>
      </c>
      <c r="S140" t="s">
        <v>35</v>
      </c>
      <c r="T140" t="s">
        <v>49</v>
      </c>
      <c r="U140" t="s">
        <v>89</v>
      </c>
      <c r="V140" t="s">
        <v>714</v>
      </c>
      <c r="W140" t="s">
        <v>52</v>
      </c>
    </row>
    <row r="141" spans="1:23" x14ac:dyDescent="0.3">
      <c r="A141" t="s">
        <v>715</v>
      </c>
      <c r="B141" t="s">
        <v>475</v>
      </c>
      <c r="C141" t="s">
        <v>716</v>
      </c>
      <c r="D141" t="s">
        <v>26</v>
      </c>
      <c r="E141" t="s">
        <v>717</v>
      </c>
      <c r="F141" t="s">
        <v>79</v>
      </c>
      <c r="G141" t="s">
        <v>718</v>
      </c>
      <c r="H141">
        <v>2499</v>
      </c>
      <c r="I141">
        <v>1</v>
      </c>
      <c r="J141">
        <v>2499</v>
      </c>
      <c r="K141" t="s">
        <v>598</v>
      </c>
      <c r="L141">
        <v>40</v>
      </c>
      <c r="M141" t="s">
        <v>70</v>
      </c>
      <c r="N141" t="s">
        <v>46</v>
      </c>
      <c r="O141" t="s">
        <v>226</v>
      </c>
      <c r="P141" t="s">
        <v>62</v>
      </c>
      <c r="Q141" t="s">
        <v>61</v>
      </c>
      <c r="R141" t="s">
        <v>332</v>
      </c>
      <c r="S141" t="s">
        <v>35</v>
      </c>
      <c r="T141" t="s">
        <v>49</v>
      </c>
      <c r="U141" t="s">
        <v>158</v>
      </c>
      <c r="V141" t="s">
        <v>705</v>
      </c>
      <c r="W141" t="s">
        <v>52</v>
      </c>
    </row>
    <row r="142" spans="1:23" x14ac:dyDescent="0.3">
      <c r="A142" t="s">
        <v>719</v>
      </c>
      <c r="B142" t="s">
        <v>475</v>
      </c>
      <c r="C142" t="s">
        <v>720</v>
      </c>
      <c r="D142" t="s">
        <v>26</v>
      </c>
      <c r="E142" t="s">
        <v>721</v>
      </c>
      <c r="F142" t="s">
        <v>28</v>
      </c>
      <c r="G142" t="s">
        <v>722</v>
      </c>
      <c r="H142">
        <v>2299</v>
      </c>
      <c r="I142">
        <v>1</v>
      </c>
      <c r="J142">
        <v>2299</v>
      </c>
      <c r="K142" t="s">
        <v>598</v>
      </c>
      <c r="L142">
        <v>40</v>
      </c>
      <c r="M142" t="s">
        <v>30</v>
      </c>
      <c r="N142" t="s">
        <v>71</v>
      </c>
      <c r="O142" t="s">
        <v>233</v>
      </c>
      <c r="P142" t="s">
        <v>109</v>
      </c>
      <c r="Q142" t="s">
        <v>32</v>
      </c>
      <c r="R142" t="s">
        <v>319</v>
      </c>
      <c r="S142" t="s">
        <v>35</v>
      </c>
      <c r="T142" t="s">
        <v>49</v>
      </c>
      <c r="U142" t="s">
        <v>50</v>
      </c>
      <c r="V142" t="s">
        <v>723</v>
      </c>
      <c r="W142" t="s">
        <v>52</v>
      </c>
    </row>
    <row r="143" spans="1:23" x14ac:dyDescent="0.3">
      <c r="A143" t="s">
        <v>724</v>
      </c>
      <c r="B143" t="s">
        <v>475</v>
      </c>
      <c r="C143" t="s">
        <v>725</v>
      </c>
      <c r="D143" t="s">
        <v>26</v>
      </c>
      <c r="E143" t="s">
        <v>531</v>
      </c>
      <c r="F143" t="s">
        <v>42</v>
      </c>
      <c r="G143" t="s">
        <v>726</v>
      </c>
      <c r="H143">
        <v>5999</v>
      </c>
      <c r="I143">
        <v>1</v>
      </c>
      <c r="J143">
        <v>5999</v>
      </c>
      <c r="K143" t="s">
        <v>598</v>
      </c>
      <c r="L143">
        <v>40</v>
      </c>
      <c r="M143" t="s">
        <v>45</v>
      </c>
      <c r="N143" t="s">
        <v>31</v>
      </c>
      <c r="O143" t="s">
        <v>238</v>
      </c>
      <c r="P143" t="s">
        <v>109</v>
      </c>
      <c r="Q143" t="s">
        <v>32</v>
      </c>
      <c r="R143" t="s">
        <v>356</v>
      </c>
      <c r="S143" t="s">
        <v>35</v>
      </c>
      <c r="T143" t="s">
        <v>49</v>
      </c>
      <c r="U143" t="s">
        <v>119</v>
      </c>
      <c r="V143" t="s">
        <v>727</v>
      </c>
      <c r="W143" t="s">
        <v>52</v>
      </c>
    </row>
    <row r="144" spans="1:23" x14ac:dyDescent="0.3">
      <c r="A144" t="s">
        <v>728</v>
      </c>
      <c r="B144" t="s">
        <v>475</v>
      </c>
      <c r="C144" t="s">
        <v>729</v>
      </c>
      <c r="D144" t="s">
        <v>40</v>
      </c>
      <c r="E144" t="s">
        <v>730</v>
      </c>
      <c r="F144" t="s">
        <v>58</v>
      </c>
      <c r="G144" t="s">
        <v>731</v>
      </c>
      <c r="H144">
        <v>2599</v>
      </c>
      <c r="I144">
        <v>1</v>
      </c>
      <c r="J144">
        <v>2599</v>
      </c>
      <c r="K144" t="s">
        <v>598</v>
      </c>
      <c r="L144">
        <v>40</v>
      </c>
      <c r="M144" t="s">
        <v>60</v>
      </c>
      <c r="N144" t="s">
        <v>46</v>
      </c>
      <c r="O144" t="s">
        <v>243</v>
      </c>
      <c r="P144" t="s">
        <v>130</v>
      </c>
      <c r="Q144" t="s">
        <v>47</v>
      </c>
      <c r="R144" t="s">
        <v>319</v>
      </c>
      <c r="S144" t="s">
        <v>35</v>
      </c>
      <c r="T144" t="s">
        <v>36</v>
      </c>
      <c r="W144" t="s">
        <v>37</v>
      </c>
    </row>
    <row r="145" spans="1:23" x14ac:dyDescent="0.3">
      <c r="A145" t="s">
        <v>732</v>
      </c>
      <c r="B145" t="s">
        <v>497</v>
      </c>
      <c r="C145" t="s">
        <v>733</v>
      </c>
      <c r="D145" t="s">
        <v>26</v>
      </c>
      <c r="E145" t="s">
        <v>734</v>
      </c>
      <c r="F145" t="s">
        <v>67</v>
      </c>
      <c r="G145" t="s">
        <v>735</v>
      </c>
      <c r="H145">
        <v>4299</v>
      </c>
      <c r="I145">
        <v>1</v>
      </c>
      <c r="J145">
        <v>4299</v>
      </c>
      <c r="K145" t="s">
        <v>598</v>
      </c>
      <c r="L145">
        <v>40</v>
      </c>
      <c r="M145" t="s">
        <v>45</v>
      </c>
      <c r="N145" t="s">
        <v>71</v>
      </c>
      <c r="O145" t="s">
        <v>32</v>
      </c>
      <c r="P145" t="s">
        <v>33</v>
      </c>
      <c r="Q145" t="s">
        <v>32</v>
      </c>
      <c r="R145" t="s">
        <v>736</v>
      </c>
      <c r="S145" t="s">
        <v>35</v>
      </c>
      <c r="T145" t="s">
        <v>49</v>
      </c>
      <c r="U145" t="s">
        <v>75</v>
      </c>
      <c r="V145" t="s">
        <v>737</v>
      </c>
      <c r="W145" t="s">
        <v>52</v>
      </c>
    </row>
    <row r="146" spans="1:23" x14ac:dyDescent="0.3">
      <c r="A146" t="s">
        <v>738</v>
      </c>
      <c r="B146" t="s">
        <v>497</v>
      </c>
      <c r="C146" t="s">
        <v>739</v>
      </c>
      <c r="D146" t="s">
        <v>26</v>
      </c>
      <c r="E146" t="s">
        <v>740</v>
      </c>
      <c r="F146" t="s">
        <v>79</v>
      </c>
      <c r="G146" t="s">
        <v>741</v>
      </c>
      <c r="H146">
        <v>799</v>
      </c>
      <c r="I146">
        <v>1</v>
      </c>
      <c r="J146">
        <v>799</v>
      </c>
      <c r="K146" t="s">
        <v>598</v>
      </c>
      <c r="L146">
        <v>40</v>
      </c>
      <c r="M146" t="s">
        <v>30</v>
      </c>
      <c r="N146" t="s">
        <v>31</v>
      </c>
      <c r="O146" t="s">
        <v>47</v>
      </c>
      <c r="P146" t="s">
        <v>47</v>
      </c>
      <c r="Q146" t="s">
        <v>47</v>
      </c>
      <c r="R146" t="s">
        <v>356</v>
      </c>
      <c r="S146" t="s">
        <v>35</v>
      </c>
      <c r="T146" t="s">
        <v>36</v>
      </c>
      <c r="W146" t="s">
        <v>37</v>
      </c>
    </row>
    <row r="147" spans="1:23" x14ac:dyDescent="0.3">
      <c r="A147" t="s">
        <v>742</v>
      </c>
      <c r="B147" t="s">
        <v>497</v>
      </c>
      <c r="C147" t="s">
        <v>743</v>
      </c>
      <c r="D147" t="s">
        <v>26</v>
      </c>
      <c r="E147" t="s">
        <v>744</v>
      </c>
      <c r="F147" t="s">
        <v>28</v>
      </c>
      <c r="G147" t="s">
        <v>745</v>
      </c>
      <c r="H147">
        <v>1899</v>
      </c>
      <c r="I147">
        <v>1</v>
      </c>
      <c r="J147">
        <v>1899</v>
      </c>
      <c r="K147" t="s">
        <v>598</v>
      </c>
      <c r="L147">
        <v>40</v>
      </c>
      <c r="M147" t="s">
        <v>128</v>
      </c>
      <c r="N147" t="s">
        <v>46</v>
      </c>
      <c r="O147" t="s">
        <v>101</v>
      </c>
      <c r="P147" t="s">
        <v>102</v>
      </c>
      <c r="Q147" t="s">
        <v>47</v>
      </c>
      <c r="R147" t="s">
        <v>736</v>
      </c>
      <c r="S147" t="s">
        <v>35</v>
      </c>
      <c r="T147" t="s">
        <v>49</v>
      </c>
      <c r="U147" t="s">
        <v>50</v>
      </c>
      <c r="V147" t="s">
        <v>727</v>
      </c>
      <c r="W147" t="s">
        <v>52</v>
      </c>
    </row>
    <row r="148" spans="1:23" x14ac:dyDescent="0.3">
      <c r="A148" t="s">
        <v>746</v>
      </c>
      <c r="B148" t="s">
        <v>210</v>
      </c>
      <c r="C148" t="s">
        <v>747</v>
      </c>
      <c r="D148" t="s">
        <v>26</v>
      </c>
      <c r="E148" t="s">
        <v>748</v>
      </c>
      <c r="F148" t="s">
        <v>42</v>
      </c>
      <c r="G148" t="s">
        <v>749</v>
      </c>
      <c r="H148">
        <v>4899</v>
      </c>
      <c r="I148">
        <v>1</v>
      </c>
      <c r="J148">
        <v>4899</v>
      </c>
      <c r="K148" t="s">
        <v>598</v>
      </c>
      <c r="L148">
        <v>40</v>
      </c>
      <c r="M148" t="s">
        <v>70</v>
      </c>
      <c r="N148" t="s">
        <v>71</v>
      </c>
      <c r="O148" t="s">
        <v>72</v>
      </c>
      <c r="P148" t="s">
        <v>73</v>
      </c>
      <c r="Q148" t="s">
        <v>61</v>
      </c>
      <c r="R148" t="s">
        <v>342</v>
      </c>
      <c r="S148" t="s">
        <v>35</v>
      </c>
      <c r="T148" t="s">
        <v>49</v>
      </c>
      <c r="U148" t="s">
        <v>89</v>
      </c>
      <c r="V148" t="s">
        <v>750</v>
      </c>
      <c r="W148" t="s">
        <v>52</v>
      </c>
    </row>
    <row r="149" spans="1:23" x14ac:dyDescent="0.3">
      <c r="A149" t="s">
        <v>751</v>
      </c>
      <c r="B149" t="s">
        <v>210</v>
      </c>
      <c r="C149" t="s">
        <v>752</v>
      </c>
      <c r="D149" t="s">
        <v>40</v>
      </c>
      <c r="E149" t="s">
        <v>753</v>
      </c>
      <c r="F149" t="s">
        <v>58</v>
      </c>
      <c r="G149" t="s">
        <v>754</v>
      </c>
      <c r="H149">
        <v>1499</v>
      </c>
      <c r="I149">
        <v>1</v>
      </c>
      <c r="J149">
        <v>1499</v>
      </c>
      <c r="K149" t="s">
        <v>598</v>
      </c>
      <c r="L149">
        <v>40</v>
      </c>
      <c r="M149" t="s">
        <v>45</v>
      </c>
      <c r="N149" t="s">
        <v>31</v>
      </c>
      <c r="O149" t="s">
        <v>86</v>
      </c>
      <c r="P149" t="s">
        <v>87</v>
      </c>
      <c r="Q149" t="s">
        <v>61</v>
      </c>
      <c r="R149" t="s">
        <v>736</v>
      </c>
      <c r="S149" t="s">
        <v>35</v>
      </c>
      <c r="T149" t="s">
        <v>36</v>
      </c>
      <c r="W149" t="s">
        <v>37</v>
      </c>
    </row>
    <row r="150" spans="1:23" x14ac:dyDescent="0.3">
      <c r="A150" t="s">
        <v>755</v>
      </c>
      <c r="B150" t="s">
        <v>210</v>
      </c>
      <c r="C150" t="s">
        <v>756</v>
      </c>
      <c r="D150" t="s">
        <v>26</v>
      </c>
      <c r="E150" t="s">
        <v>757</v>
      </c>
      <c r="F150" t="s">
        <v>67</v>
      </c>
      <c r="G150" t="s">
        <v>758</v>
      </c>
      <c r="H150">
        <v>5699</v>
      </c>
      <c r="I150">
        <v>1</v>
      </c>
      <c r="J150">
        <v>5699</v>
      </c>
      <c r="K150" t="s">
        <v>598</v>
      </c>
      <c r="L150">
        <v>40</v>
      </c>
      <c r="M150" t="s">
        <v>30</v>
      </c>
      <c r="N150" t="s">
        <v>46</v>
      </c>
      <c r="O150" t="s">
        <v>95</v>
      </c>
      <c r="P150" t="s">
        <v>33</v>
      </c>
      <c r="Q150" t="s">
        <v>32</v>
      </c>
      <c r="R150" t="s">
        <v>759</v>
      </c>
      <c r="S150" t="s">
        <v>35</v>
      </c>
      <c r="T150" t="s">
        <v>49</v>
      </c>
      <c r="U150" t="s">
        <v>50</v>
      </c>
      <c r="V150" t="s">
        <v>760</v>
      </c>
      <c r="W150" t="s">
        <v>52</v>
      </c>
    </row>
    <row r="151" spans="1:23" x14ac:dyDescent="0.3">
      <c r="A151" t="s">
        <v>761</v>
      </c>
      <c r="B151" t="s">
        <v>210</v>
      </c>
      <c r="C151" t="s">
        <v>762</v>
      </c>
      <c r="D151" t="s">
        <v>26</v>
      </c>
      <c r="E151" t="s">
        <v>763</v>
      </c>
      <c r="F151" t="s">
        <v>79</v>
      </c>
      <c r="G151" t="s">
        <v>764</v>
      </c>
      <c r="H151">
        <v>599</v>
      </c>
      <c r="I151">
        <v>4</v>
      </c>
      <c r="J151">
        <v>2396</v>
      </c>
      <c r="K151" t="s">
        <v>598</v>
      </c>
      <c r="L151">
        <v>40</v>
      </c>
      <c r="M151" t="s">
        <v>60</v>
      </c>
      <c r="N151" t="s">
        <v>71</v>
      </c>
      <c r="O151" t="s">
        <v>108</v>
      </c>
      <c r="P151" t="s">
        <v>109</v>
      </c>
      <c r="Q151" t="s">
        <v>32</v>
      </c>
      <c r="R151" t="s">
        <v>342</v>
      </c>
      <c r="S151" t="s">
        <v>35</v>
      </c>
      <c r="T151" t="s">
        <v>49</v>
      </c>
      <c r="U151" t="s">
        <v>158</v>
      </c>
      <c r="V151" t="s">
        <v>737</v>
      </c>
      <c r="W151" t="s">
        <v>52</v>
      </c>
    </row>
    <row r="152" spans="1:23" x14ac:dyDescent="0.3">
      <c r="A152" t="s">
        <v>765</v>
      </c>
      <c r="B152" t="s">
        <v>537</v>
      </c>
      <c r="C152" t="s">
        <v>766</v>
      </c>
      <c r="D152" t="s">
        <v>26</v>
      </c>
      <c r="E152" t="s">
        <v>767</v>
      </c>
      <c r="F152" t="s">
        <v>28</v>
      </c>
      <c r="G152" t="s">
        <v>768</v>
      </c>
      <c r="H152">
        <v>2999</v>
      </c>
      <c r="I152">
        <v>1</v>
      </c>
      <c r="J152">
        <v>2999</v>
      </c>
      <c r="L152">
        <v>0</v>
      </c>
      <c r="M152" t="s">
        <v>45</v>
      </c>
      <c r="N152" t="s">
        <v>31</v>
      </c>
      <c r="O152" t="s">
        <v>116</v>
      </c>
      <c r="P152" t="s">
        <v>117</v>
      </c>
      <c r="Q152" t="s">
        <v>47</v>
      </c>
      <c r="R152" t="s">
        <v>759</v>
      </c>
      <c r="S152" t="s">
        <v>35</v>
      </c>
      <c r="T152" t="s">
        <v>36</v>
      </c>
      <c r="W152" t="s">
        <v>37</v>
      </c>
    </row>
    <row r="153" spans="1:23" x14ac:dyDescent="0.3">
      <c r="A153" t="s">
        <v>769</v>
      </c>
      <c r="B153" t="s">
        <v>537</v>
      </c>
      <c r="C153" t="s">
        <v>770</v>
      </c>
      <c r="D153" t="s">
        <v>26</v>
      </c>
      <c r="E153" t="s">
        <v>771</v>
      </c>
      <c r="F153" t="s">
        <v>42</v>
      </c>
      <c r="G153" t="s">
        <v>772</v>
      </c>
      <c r="H153">
        <v>2799</v>
      </c>
      <c r="I153">
        <v>1</v>
      </c>
      <c r="J153">
        <v>2799</v>
      </c>
      <c r="L153">
        <v>0</v>
      </c>
      <c r="M153" t="s">
        <v>30</v>
      </c>
      <c r="N153" t="s">
        <v>46</v>
      </c>
      <c r="O153" t="s">
        <v>129</v>
      </c>
      <c r="P153" t="s">
        <v>130</v>
      </c>
      <c r="Q153" t="s">
        <v>47</v>
      </c>
      <c r="R153" t="s">
        <v>365</v>
      </c>
      <c r="S153" t="s">
        <v>35</v>
      </c>
      <c r="T153" t="s">
        <v>49</v>
      </c>
      <c r="U153" t="s">
        <v>75</v>
      </c>
      <c r="V153" t="s">
        <v>760</v>
      </c>
      <c r="W153" t="s">
        <v>52</v>
      </c>
    </row>
    <row r="154" spans="1:23" x14ac:dyDescent="0.3">
      <c r="A154" t="s">
        <v>773</v>
      </c>
      <c r="B154" t="s">
        <v>537</v>
      </c>
      <c r="C154" t="s">
        <v>774</v>
      </c>
      <c r="D154" t="s">
        <v>40</v>
      </c>
      <c r="E154" t="s">
        <v>775</v>
      </c>
      <c r="F154" t="s">
        <v>58</v>
      </c>
      <c r="G154" t="s">
        <v>776</v>
      </c>
      <c r="H154">
        <v>1699</v>
      </c>
      <c r="I154">
        <v>1</v>
      </c>
      <c r="J154">
        <v>1699</v>
      </c>
      <c r="K154" t="s">
        <v>777</v>
      </c>
      <c r="L154">
        <v>15</v>
      </c>
      <c r="M154" t="s">
        <v>70</v>
      </c>
      <c r="N154" t="s">
        <v>71</v>
      </c>
      <c r="O154" t="s">
        <v>61</v>
      </c>
      <c r="P154" t="s">
        <v>62</v>
      </c>
      <c r="Q154" t="s">
        <v>61</v>
      </c>
      <c r="R154" t="s">
        <v>342</v>
      </c>
      <c r="S154" t="s">
        <v>35</v>
      </c>
      <c r="T154" t="s">
        <v>36</v>
      </c>
      <c r="W154" t="s">
        <v>37</v>
      </c>
    </row>
    <row r="155" spans="1:23" x14ac:dyDescent="0.3">
      <c r="A155" t="s">
        <v>778</v>
      </c>
      <c r="B155" t="s">
        <v>550</v>
      </c>
      <c r="C155" t="s">
        <v>779</v>
      </c>
      <c r="D155" t="s">
        <v>26</v>
      </c>
      <c r="E155" t="s">
        <v>780</v>
      </c>
      <c r="F155" t="s">
        <v>67</v>
      </c>
      <c r="G155" t="s">
        <v>781</v>
      </c>
      <c r="H155">
        <v>4599</v>
      </c>
      <c r="I155">
        <v>1</v>
      </c>
      <c r="J155">
        <v>4599</v>
      </c>
      <c r="L155">
        <v>0</v>
      </c>
      <c r="M155" t="s">
        <v>45</v>
      </c>
      <c r="N155" t="s">
        <v>31</v>
      </c>
      <c r="O155" t="s">
        <v>32</v>
      </c>
      <c r="P155" t="s">
        <v>33</v>
      </c>
      <c r="Q155" t="s">
        <v>32</v>
      </c>
      <c r="R155" t="s">
        <v>782</v>
      </c>
      <c r="S155" t="s">
        <v>35</v>
      </c>
      <c r="T155" t="s">
        <v>49</v>
      </c>
      <c r="U155" t="s">
        <v>50</v>
      </c>
      <c r="V155" t="s">
        <v>783</v>
      </c>
      <c r="W155" t="s">
        <v>52</v>
      </c>
    </row>
    <row r="156" spans="1:23" x14ac:dyDescent="0.3">
      <c r="A156" t="s">
        <v>784</v>
      </c>
      <c r="B156" t="s">
        <v>550</v>
      </c>
      <c r="C156" t="s">
        <v>785</v>
      </c>
      <c r="D156" t="s">
        <v>26</v>
      </c>
      <c r="E156" t="s">
        <v>786</v>
      </c>
      <c r="F156" t="s">
        <v>79</v>
      </c>
      <c r="G156" t="s">
        <v>787</v>
      </c>
      <c r="H156">
        <v>899</v>
      </c>
      <c r="I156">
        <v>1</v>
      </c>
      <c r="J156">
        <v>899</v>
      </c>
      <c r="L156">
        <v>0</v>
      </c>
      <c r="M156" t="s">
        <v>60</v>
      </c>
      <c r="N156" t="s">
        <v>46</v>
      </c>
      <c r="O156" t="s">
        <v>47</v>
      </c>
      <c r="P156" t="s">
        <v>47</v>
      </c>
      <c r="Q156" t="s">
        <v>47</v>
      </c>
      <c r="R156" t="s">
        <v>759</v>
      </c>
      <c r="S156" t="s">
        <v>35</v>
      </c>
      <c r="T156" t="s">
        <v>36</v>
      </c>
      <c r="W156" t="s">
        <v>37</v>
      </c>
    </row>
    <row r="157" spans="1:23" x14ac:dyDescent="0.3">
      <c r="A157" t="s">
        <v>788</v>
      </c>
      <c r="B157" t="s">
        <v>550</v>
      </c>
      <c r="C157" t="s">
        <v>789</v>
      </c>
      <c r="D157" t="s">
        <v>26</v>
      </c>
      <c r="E157" t="s">
        <v>790</v>
      </c>
      <c r="F157" t="s">
        <v>28</v>
      </c>
      <c r="G157" t="s">
        <v>791</v>
      </c>
      <c r="H157">
        <v>1799</v>
      </c>
      <c r="I157">
        <v>1</v>
      </c>
      <c r="J157">
        <v>1799</v>
      </c>
      <c r="K157" t="s">
        <v>777</v>
      </c>
      <c r="L157">
        <v>15</v>
      </c>
      <c r="M157" t="s">
        <v>30</v>
      </c>
      <c r="N157" t="s">
        <v>71</v>
      </c>
      <c r="O157" t="s">
        <v>135</v>
      </c>
      <c r="P157" t="s">
        <v>136</v>
      </c>
      <c r="Q157" t="s">
        <v>47</v>
      </c>
      <c r="R157" t="s">
        <v>365</v>
      </c>
      <c r="S157" t="s">
        <v>35</v>
      </c>
      <c r="T157" t="s">
        <v>49</v>
      </c>
      <c r="U157" t="s">
        <v>119</v>
      </c>
      <c r="V157" t="s">
        <v>792</v>
      </c>
      <c r="W157" t="s">
        <v>52</v>
      </c>
    </row>
    <row r="158" spans="1:23" x14ac:dyDescent="0.3">
      <c r="A158" t="s">
        <v>793</v>
      </c>
      <c r="B158" t="s">
        <v>228</v>
      </c>
      <c r="C158" t="s">
        <v>794</v>
      </c>
      <c r="D158" t="s">
        <v>26</v>
      </c>
      <c r="E158" t="s">
        <v>795</v>
      </c>
      <c r="F158" t="s">
        <v>42</v>
      </c>
      <c r="G158" t="s">
        <v>796</v>
      </c>
      <c r="H158">
        <v>2599</v>
      </c>
      <c r="I158">
        <v>1</v>
      </c>
      <c r="J158">
        <v>2599</v>
      </c>
      <c r="L158">
        <v>0</v>
      </c>
      <c r="M158" t="s">
        <v>128</v>
      </c>
      <c r="N158" t="s">
        <v>31</v>
      </c>
      <c r="O158" t="s">
        <v>156</v>
      </c>
      <c r="P158" t="s">
        <v>130</v>
      </c>
      <c r="Q158" t="s">
        <v>47</v>
      </c>
      <c r="R158" t="s">
        <v>378</v>
      </c>
      <c r="S158" t="s">
        <v>35</v>
      </c>
      <c r="T158" t="s">
        <v>36</v>
      </c>
      <c r="W158" t="s">
        <v>37</v>
      </c>
    </row>
    <row r="159" spans="1:23" x14ac:dyDescent="0.3">
      <c r="A159" t="s">
        <v>797</v>
      </c>
      <c r="B159" t="s">
        <v>228</v>
      </c>
      <c r="C159" t="s">
        <v>798</v>
      </c>
      <c r="D159" t="s">
        <v>40</v>
      </c>
      <c r="E159" t="s">
        <v>799</v>
      </c>
      <c r="F159" t="s">
        <v>58</v>
      </c>
      <c r="G159" t="s">
        <v>800</v>
      </c>
      <c r="H159">
        <v>1599</v>
      </c>
      <c r="I159">
        <v>1</v>
      </c>
      <c r="J159">
        <v>1599</v>
      </c>
      <c r="L159">
        <v>0</v>
      </c>
      <c r="M159" t="s">
        <v>45</v>
      </c>
      <c r="N159" t="s">
        <v>46</v>
      </c>
      <c r="O159" t="s">
        <v>164</v>
      </c>
      <c r="P159" t="s">
        <v>165</v>
      </c>
      <c r="Q159" t="s">
        <v>47</v>
      </c>
      <c r="R159" t="s">
        <v>365</v>
      </c>
      <c r="S159" t="s">
        <v>35</v>
      </c>
      <c r="T159" t="s">
        <v>49</v>
      </c>
      <c r="U159" t="s">
        <v>89</v>
      </c>
      <c r="V159" t="s">
        <v>760</v>
      </c>
      <c r="W159" t="s">
        <v>52</v>
      </c>
    </row>
    <row r="160" spans="1:23" x14ac:dyDescent="0.3">
      <c r="A160" t="s">
        <v>801</v>
      </c>
      <c r="B160" t="s">
        <v>228</v>
      </c>
      <c r="C160" t="s">
        <v>802</v>
      </c>
      <c r="D160" t="s">
        <v>26</v>
      </c>
      <c r="E160" t="s">
        <v>803</v>
      </c>
      <c r="F160" t="s">
        <v>67</v>
      </c>
      <c r="G160" t="s">
        <v>804</v>
      </c>
      <c r="H160">
        <v>5299</v>
      </c>
      <c r="I160">
        <v>1</v>
      </c>
      <c r="J160">
        <v>5299</v>
      </c>
      <c r="K160" t="s">
        <v>777</v>
      </c>
      <c r="L160">
        <v>15</v>
      </c>
      <c r="M160" t="s">
        <v>70</v>
      </c>
      <c r="N160" t="s">
        <v>71</v>
      </c>
      <c r="O160" t="s">
        <v>171</v>
      </c>
      <c r="P160" t="s">
        <v>172</v>
      </c>
      <c r="Q160" t="s">
        <v>32</v>
      </c>
      <c r="R160" t="s">
        <v>805</v>
      </c>
      <c r="S160" t="s">
        <v>35</v>
      </c>
      <c r="T160" t="s">
        <v>36</v>
      </c>
      <c r="W160" t="s">
        <v>37</v>
      </c>
    </row>
    <row r="161" spans="1:23" x14ac:dyDescent="0.3">
      <c r="A161" t="s">
        <v>806</v>
      </c>
      <c r="B161" t="s">
        <v>585</v>
      </c>
      <c r="C161" t="s">
        <v>807</v>
      </c>
      <c r="D161" t="s">
        <v>26</v>
      </c>
      <c r="E161" t="s">
        <v>808</v>
      </c>
      <c r="F161" t="s">
        <v>79</v>
      </c>
      <c r="G161" t="s">
        <v>809</v>
      </c>
      <c r="H161">
        <v>499</v>
      </c>
      <c r="I161">
        <v>3</v>
      </c>
      <c r="J161">
        <v>1497</v>
      </c>
      <c r="L161">
        <v>0</v>
      </c>
      <c r="M161" t="s">
        <v>30</v>
      </c>
      <c r="N161" t="s">
        <v>31</v>
      </c>
      <c r="O161" t="s">
        <v>177</v>
      </c>
      <c r="P161" t="s">
        <v>109</v>
      </c>
      <c r="Q161" t="s">
        <v>32</v>
      </c>
      <c r="R161" t="s">
        <v>782</v>
      </c>
      <c r="S161" t="s">
        <v>35</v>
      </c>
      <c r="T161" t="s">
        <v>49</v>
      </c>
      <c r="U161" t="s">
        <v>158</v>
      </c>
      <c r="V161" t="s">
        <v>792</v>
      </c>
      <c r="W161" t="s">
        <v>52</v>
      </c>
    </row>
    <row r="162" spans="1:23" x14ac:dyDescent="0.3">
      <c r="A162" t="s">
        <v>810</v>
      </c>
      <c r="B162" t="s">
        <v>585</v>
      </c>
      <c r="C162" t="s">
        <v>811</v>
      </c>
      <c r="D162" t="s">
        <v>26</v>
      </c>
      <c r="E162" t="s">
        <v>812</v>
      </c>
      <c r="F162" t="s">
        <v>28</v>
      </c>
      <c r="G162" t="s">
        <v>813</v>
      </c>
      <c r="H162">
        <v>2099</v>
      </c>
      <c r="I162">
        <v>1</v>
      </c>
      <c r="J162">
        <v>2099</v>
      </c>
      <c r="L162">
        <v>0</v>
      </c>
      <c r="M162" t="s">
        <v>60</v>
      </c>
      <c r="N162" t="s">
        <v>46</v>
      </c>
      <c r="O162" t="s">
        <v>184</v>
      </c>
      <c r="P162" t="s">
        <v>185</v>
      </c>
      <c r="Q162" t="s">
        <v>47</v>
      </c>
      <c r="S162" t="s">
        <v>137</v>
      </c>
      <c r="T162" t="s">
        <v>36</v>
      </c>
      <c r="W162" t="s">
        <v>37</v>
      </c>
    </row>
    <row r="163" spans="1:23" x14ac:dyDescent="0.3">
      <c r="A163" t="s">
        <v>814</v>
      </c>
      <c r="B163" t="s">
        <v>585</v>
      </c>
      <c r="C163" t="s">
        <v>815</v>
      </c>
      <c r="D163" t="s">
        <v>26</v>
      </c>
      <c r="E163" t="s">
        <v>816</v>
      </c>
      <c r="F163" t="s">
        <v>42</v>
      </c>
      <c r="G163" t="s">
        <v>817</v>
      </c>
      <c r="H163">
        <v>2399</v>
      </c>
      <c r="I163">
        <v>1</v>
      </c>
      <c r="J163">
        <v>2399</v>
      </c>
      <c r="K163" t="s">
        <v>777</v>
      </c>
      <c r="L163">
        <v>15</v>
      </c>
      <c r="M163" t="s">
        <v>45</v>
      </c>
      <c r="N163" t="s">
        <v>71</v>
      </c>
      <c r="O163" t="s">
        <v>190</v>
      </c>
      <c r="P163" t="s">
        <v>172</v>
      </c>
      <c r="Q163" t="s">
        <v>32</v>
      </c>
      <c r="R163" t="s">
        <v>388</v>
      </c>
      <c r="S163" t="s">
        <v>35</v>
      </c>
      <c r="T163" t="s">
        <v>49</v>
      </c>
      <c r="U163" t="s">
        <v>50</v>
      </c>
      <c r="V163" t="s">
        <v>818</v>
      </c>
      <c r="W163" t="s">
        <v>52</v>
      </c>
    </row>
    <row r="164" spans="1:23" x14ac:dyDescent="0.3">
      <c r="A164" t="s">
        <v>819</v>
      </c>
      <c r="B164" t="s">
        <v>249</v>
      </c>
      <c r="C164" t="s">
        <v>820</v>
      </c>
      <c r="D164" t="s">
        <v>40</v>
      </c>
      <c r="E164" t="s">
        <v>821</v>
      </c>
      <c r="F164" t="s">
        <v>58</v>
      </c>
      <c r="G164" t="s">
        <v>822</v>
      </c>
      <c r="H164">
        <v>1799</v>
      </c>
      <c r="I164">
        <v>1</v>
      </c>
      <c r="J164">
        <v>1799</v>
      </c>
      <c r="L164">
        <v>0</v>
      </c>
      <c r="M164" t="s">
        <v>128</v>
      </c>
      <c r="N164" t="s">
        <v>31</v>
      </c>
      <c r="O164" t="s">
        <v>195</v>
      </c>
      <c r="P164" t="s">
        <v>33</v>
      </c>
      <c r="Q164" t="s">
        <v>32</v>
      </c>
      <c r="R164" t="s">
        <v>378</v>
      </c>
      <c r="S164" t="s">
        <v>35</v>
      </c>
      <c r="T164" t="s">
        <v>36</v>
      </c>
      <c r="W164" t="s">
        <v>37</v>
      </c>
    </row>
    <row r="165" spans="1:23" x14ac:dyDescent="0.3">
      <c r="A165" t="s">
        <v>823</v>
      </c>
      <c r="B165" t="s">
        <v>103</v>
      </c>
      <c r="C165" t="s">
        <v>824</v>
      </c>
      <c r="D165" t="s">
        <v>26</v>
      </c>
      <c r="E165" t="s">
        <v>825</v>
      </c>
      <c r="F165" t="s">
        <v>67</v>
      </c>
      <c r="G165" t="s">
        <v>826</v>
      </c>
      <c r="H165">
        <v>4199</v>
      </c>
      <c r="I165">
        <v>1</v>
      </c>
      <c r="J165">
        <v>4199</v>
      </c>
      <c r="L165">
        <v>0</v>
      </c>
      <c r="M165" t="s">
        <v>30</v>
      </c>
      <c r="N165" t="s">
        <v>46</v>
      </c>
      <c r="O165" t="s">
        <v>202</v>
      </c>
      <c r="P165" t="s">
        <v>73</v>
      </c>
      <c r="Q165" t="s">
        <v>61</v>
      </c>
      <c r="R165" t="s">
        <v>397</v>
      </c>
      <c r="S165" t="s">
        <v>35</v>
      </c>
      <c r="T165" t="s">
        <v>49</v>
      </c>
      <c r="U165" t="s">
        <v>75</v>
      </c>
      <c r="V165" t="s">
        <v>827</v>
      </c>
      <c r="W165" t="s">
        <v>52</v>
      </c>
    </row>
    <row r="166" spans="1:23" x14ac:dyDescent="0.3">
      <c r="A166" t="s">
        <v>828</v>
      </c>
      <c r="B166" t="s">
        <v>249</v>
      </c>
      <c r="C166" t="s">
        <v>829</v>
      </c>
      <c r="D166" t="s">
        <v>26</v>
      </c>
      <c r="E166" t="s">
        <v>830</v>
      </c>
      <c r="F166" t="s">
        <v>79</v>
      </c>
      <c r="G166" t="s">
        <v>831</v>
      </c>
      <c r="H166">
        <v>699</v>
      </c>
      <c r="I166">
        <v>2</v>
      </c>
      <c r="J166">
        <v>1398</v>
      </c>
      <c r="L166">
        <v>0</v>
      </c>
      <c r="M166" t="s">
        <v>70</v>
      </c>
      <c r="N166" t="s">
        <v>71</v>
      </c>
      <c r="O166" t="s">
        <v>208</v>
      </c>
      <c r="P166" t="s">
        <v>209</v>
      </c>
      <c r="Q166" t="s">
        <v>61</v>
      </c>
      <c r="R166" t="s">
        <v>805</v>
      </c>
      <c r="S166" t="s">
        <v>35</v>
      </c>
      <c r="T166" t="s">
        <v>36</v>
      </c>
      <c r="W166" t="s">
        <v>37</v>
      </c>
    </row>
    <row r="167" spans="1:23" x14ac:dyDescent="0.3">
      <c r="A167" t="s">
        <v>832</v>
      </c>
      <c r="B167" t="s">
        <v>662</v>
      </c>
      <c r="C167" t="s">
        <v>833</v>
      </c>
      <c r="D167" t="s">
        <v>26</v>
      </c>
      <c r="E167" t="s">
        <v>557</v>
      </c>
      <c r="F167" t="s">
        <v>28</v>
      </c>
      <c r="G167" t="s">
        <v>834</v>
      </c>
      <c r="H167">
        <v>1599</v>
      </c>
      <c r="I167">
        <v>1</v>
      </c>
      <c r="J167">
        <v>1599</v>
      </c>
      <c r="K167" t="s">
        <v>777</v>
      </c>
      <c r="L167">
        <v>15</v>
      </c>
      <c r="M167" t="s">
        <v>45</v>
      </c>
      <c r="N167" t="s">
        <v>31</v>
      </c>
      <c r="O167" t="s">
        <v>215</v>
      </c>
      <c r="P167" t="s">
        <v>216</v>
      </c>
      <c r="Q167" t="s">
        <v>61</v>
      </c>
      <c r="R167" t="s">
        <v>388</v>
      </c>
      <c r="S167" t="s">
        <v>35</v>
      </c>
      <c r="T167" t="s">
        <v>49</v>
      </c>
      <c r="U167" t="s">
        <v>50</v>
      </c>
      <c r="V167" t="s">
        <v>835</v>
      </c>
      <c r="W167" t="s">
        <v>52</v>
      </c>
    </row>
    <row r="168" spans="1:23" x14ac:dyDescent="0.3">
      <c r="A168" t="s">
        <v>836</v>
      </c>
      <c r="B168" t="s">
        <v>662</v>
      </c>
      <c r="C168" t="s">
        <v>837</v>
      </c>
      <c r="D168" t="s">
        <v>26</v>
      </c>
      <c r="E168" t="s">
        <v>838</v>
      </c>
      <c r="F168" t="s">
        <v>42</v>
      </c>
      <c r="G168" t="s">
        <v>839</v>
      </c>
      <c r="H168">
        <v>2899</v>
      </c>
      <c r="I168">
        <v>1</v>
      </c>
      <c r="J168">
        <v>2899</v>
      </c>
      <c r="L168">
        <v>0</v>
      </c>
      <c r="M168" t="s">
        <v>60</v>
      </c>
      <c r="N168" t="s">
        <v>46</v>
      </c>
      <c r="O168" t="s">
        <v>221</v>
      </c>
      <c r="P168" t="s">
        <v>209</v>
      </c>
      <c r="Q168" t="s">
        <v>61</v>
      </c>
      <c r="R168" t="s">
        <v>431</v>
      </c>
      <c r="S168" t="s">
        <v>35</v>
      </c>
      <c r="T168" t="s">
        <v>49</v>
      </c>
      <c r="U168" t="s">
        <v>119</v>
      </c>
      <c r="V168" t="s">
        <v>840</v>
      </c>
      <c r="W168" t="s">
        <v>52</v>
      </c>
    </row>
    <row r="169" spans="1:23" x14ac:dyDescent="0.3">
      <c r="A169" t="s">
        <v>841</v>
      </c>
      <c r="B169" t="s">
        <v>662</v>
      </c>
      <c r="C169" t="s">
        <v>842</v>
      </c>
      <c r="D169" t="s">
        <v>40</v>
      </c>
      <c r="E169" t="s">
        <v>843</v>
      </c>
      <c r="F169" t="s">
        <v>58</v>
      </c>
      <c r="G169" t="s">
        <v>844</v>
      </c>
      <c r="H169">
        <v>2199</v>
      </c>
      <c r="I169">
        <v>1</v>
      </c>
      <c r="J169">
        <v>2199</v>
      </c>
      <c r="L169">
        <v>0</v>
      </c>
      <c r="M169" t="s">
        <v>30</v>
      </c>
      <c r="N169" t="s">
        <v>71</v>
      </c>
      <c r="O169" t="s">
        <v>226</v>
      </c>
      <c r="P169" t="s">
        <v>62</v>
      </c>
      <c r="Q169" t="s">
        <v>61</v>
      </c>
      <c r="R169" t="s">
        <v>388</v>
      </c>
      <c r="S169" t="s">
        <v>35</v>
      </c>
      <c r="T169" t="s">
        <v>36</v>
      </c>
      <c r="W169" t="s">
        <v>37</v>
      </c>
    </row>
    <row r="170" spans="1:23" x14ac:dyDescent="0.3">
      <c r="A170" t="s">
        <v>845</v>
      </c>
      <c r="B170" t="s">
        <v>274</v>
      </c>
      <c r="C170" t="s">
        <v>846</v>
      </c>
      <c r="D170" t="s">
        <v>26</v>
      </c>
      <c r="E170" t="s">
        <v>847</v>
      </c>
      <c r="F170" t="s">
        <v>67</v>
      </c>
      <c r="G170" t="s">
        <v>848</v>
      </c>
      <c r="H170">
        <v>5599</v>
      </c>
      <c r="I170">
        <v>1</v>
      </c>
      <c r="J170">
        <v>5599</v>
      </c>
      <c r="L170">
        <v>0</v>
      </c>
      <c r="M170" t="s">
        <v>45</v>
      </c>
      <c r="N170" t="s">
        <v>31</v>
      </c>
      <c r="O170" t="s">
        <v>233</v>
      </c>
      <c r="P170" t="s">
        <v>109</v>
      </c>
      <c r="Q170" t="s">
        <v>32</v>
      </c>
      <c r="R170" t="s">
        <v>849</v>
      </c>
      <c r="S170" t="s">
        <v>35</v>
      </c>
      <c r="T170" t="s">
        <v>49</v>
      </c>
      <c r="U170" t="s">
        <v>89</v>
      </c>
      <c r="V170" t="s">
        <v>850</v>
      </c>
      <c r="W170" t="s">
        <v>52</v>
      </c>
    </row>
    <row r="171" spans="1:23" x14ac:dyDescent="0.3">
      <c r="A171" t="s">
        <v>851</v>
      </c>
      <c r="B171" t="s">
        <v>274</v>
      </c>
      <c r="C171" t="s">
        <v>852</v>
      </c>
      <c r="D171" t="s">
        <v>26</v>
      </c>
      <c r="E171" t="s">
        <v>853</v>
      </c>
      <c r="F171" t="s">
        <v>79</v>
      </c>
      <c r="G171" t="s">
        <v>854</v>
      </c>
      <c r="H171">
        <v>399</v>
      </c>
      <c r="I171">
        <v>2</v>
      </c>
      <c r="J171">
        <v>798</v>
      </c>
      <c r="K171" t="s">
        <v>777</v>
      </c>
      <c r="L171">
        <v>15</v>
      </c>
      <c r="M171" t="s">
        <v>128</v>
      </c>
      <c r="N171" t="s">
        <v>46</v>
      </c>
      <c r="O171" t="s">
        <v>238</v>
      </c>
      <c r="P171" t="s">
        <v>109</v>
      </c>
      <c r="Q171" t="s">
        <v>32</v>
      </c>
      <c r="R171" t="s">
        <v>397</v>
      </c>
      <c r="S171" t="s">
        <v>35</v>
      </c>
      <c r="T171" t="s">
        <v>36</v>
      </c>
      <c r="W171" t="s">
        <v>37</v>
      </c>
    </row>
    <row r="172" spans="1:23" x14ac:dyDescent="0.3">
      <c r="A172" t="s">
        <v>855</v>
      </c>
      <c r="B172" t="s">
        <v>274</v>
      </c>
      <c r="C172" t="s">
        <v>856</v>
      </c>
      <c r="D172" t="s">
        <v>26</v>
      </c>
      <c r="E172" t="s">
        <v>857</v>
      </c>
      <c r="F172" t="s">
        <v>28</v>
      </c>
      <c r="G172" t="s">
        <v>858</v>
      </c>
      <c r="H172">
        <v>1899</v>
      </c>
      <c r="I172">
        <v>1</v>
      </c>
      <c r="J172">
        <v>1899</v>
      </c>
      <c r="L172">
        <v>0</v>
      </c>
      <c r="M172" t="s">
        <v>70</v>
      </c>
      <c r="N172" t="s">
        <v>71</v>
      </c>
      <c r="O172" t="s">
        <v>243</v>
      </c>
      <c r="P172" t="s">
        <v>130</v>
      </c>
      <c r="Q172" t="s">
        <v>47</v>
      </c>
      <c r="R172" t="s">
        <v>431</v>
      </c>
      <c r="S172" t="s">
        <v>35</v>
      </c>
      <c r="T172" t="s">
        <v>49</v>
      </c>
      <c r="U172" t="s">
        <v>75</v>
      </c>
      <c r="V172" t="s">
        <v>827</v>
      </c>
      <c r="W172" t="s">
        <v>52</v>
      </c>
    </row>
    <row r="173" spans="1:23" x14ac:dyDescent="0.3">
      <c r="A173" t="s">
        <v>859</v>
      </c>
      <c r="B173" t="s">
        <v>670</v>
      </c>
      <c r="C173" t="s">
        <v>860</v>
      </c>
      <c r="D173" t="s">
        <v>26</v>
      </c>
      <c r="E173" t="s">
        <v>861</v>
      </c>
      <c r="F173" t="s">
        <v>42</v>
      </c>
      <c r="G173" t="s">
        <v>862</v>
      </c>
      <c r="H173">
        <v>2699</v>
      </c>
      <c r="I173">
        <v>1</v>
      </c>
      <c r="J173">
        <v>2699</v>
      </c>
      <c r="L173">
        <v>0</v>
      </c>
      <c r="M173" t="s">
        <v>30</v>
      </c>
      <c r="N173" t="s">
        <v>31</v>
      </c>
      <c r="O173" t="s">
        <v>32</v>
      </c>
      <c r="P173" t="s">
        <v>33</v>
      </c>
      <c r="Q173" t="s">
        <v>32</v>
      </c>
      <c r="R173" t="s">
        <v>440</v>
      </c>
      <c r="S173" t="s">
        <v>35</v>
      </c>
      <c r="T173" t="s">
        <v>36</v>
      </c>
      <c r="W173" t="s">
        <v>37</v>
      </c>
    </row>
    <row r="174" spans="1:23" x14ac:dyDescent="0.3">
      <c r="A174" t="s">
        <v>863</v>
      </c>
      <c r="B174" t="s">
        <v>670</v>
      </c>
      <c r="C174" t="s">
        <v>864</v>
      </c>
      <c r="D174" t="s">
        <v>40</v>
      </c>
      <c r="E174" t="s">
        <v>865</v>
      </c>
      <c r="F174" t="s">
        <v>58</v>
      </c>
      <c r="G174" t="s">
        <v>866</v>
      </c>
      <c r="H174">
        <v>2499</v>
      </c>
      <c r="I174">
        <v>1</v>
      </c>
      <c r="J174">
        <v>2499</v>
      </c>
      <c r="K174" t="s">
        <v>777</v>
      </c>
      <c r="L174">
        <v>15</v>
      </c>
      <c r="M174" t="s">
        <v>45</v>
      </c>
      <c r="N174" t="s">
        <v>46</v>
      </c>
      <c r="O174" t="s">
        <v>47</v>
      </c>
      <c r="P174" t="s">
        <v>47</v>
      </c>
      <c r="Q174" t="s">
        <v>47</v>
      </c>
      <c r="R174" t="s">
        <v>431</v>
      </c>
      <c r="S174" t="s">
        <v>35</v>
      </c>
      <c r="T174" t="s">
        <v>49</v>
      </c>
      <c r="U174" t="s">
        <v>50</v>
      </c>
      <c r="V174" t="s">
        <v>840</v>
      </c>
      <c r="W174" t="s">
        <v>52</v>
      </c>
    </row>
    <row r="175" spans="1:23" x14ac:dyDescent="0.3">
      <c r="A175" t="s">
        <v>867</v>
      </c>
      <c r="B175" t="s">
        <v>670</v>
      </c>
      <c r="C175" t="s">
        <v>868</v>
      </c>
      <c r="D175" t="s">
        <v>26</v>
      </c>
      <c r="E175" t="s">
        <v>869</v>
      </c>
      <c r="F175" t="s">
        <v>67</v>
      </c>
      <c r="G175" t="s">
        <v>870</v>
      </c>
      <c r="H175">
        <v>6299</v>
      </c>
      <c r="I175">
        <v>1</v>
      </c>
      <c r="J175">
        <v>6299</v>
      </c>
      <c r="L175">
        <v>0</v>
      </c>
      <c r="M175" t="s">
        <v>60</v>
      </c>
      <c r="N175" t="s">
        <v>71</v>
      </c>
      <c r="O175" t="s">
        <v>101</v>
      </c>
      <c r="P175" t="s">
        <v>102</v>
      </c>
      <c r="Q175" t="s">
        <v>47</v>
      </c>
      <c r="S175" t="s">
        <v>137</v>
      </c>
      <c r="T175" t="s">
        <v>36</v>
      </c>
      <c r="W175" t="s">
        <v>37</v>
      </c>
    </row>
    <row r="176" spans="1:23" x14ac:dyDescent="0.3">
      <c r="A176" t="s">
        <v>871</v>
      </c>
      <c r="B176" t="s">
        <v>332</v>
      </c>
      <c r="C176" t="s">
        <v>872</v>
      </c>
      <c r="D176" t="s">
        <v>26</v>
      </c>
      <c r="E176" t="s">
        <v>873</v>
      </c>
      <c r="F176" t="s">
        <v>79</v>
      </c>
      <c r="G176" t="s">
        <v>874</v>
      </c>
      <c r="H176">
        <v>1599</v>
      </c>
      <c r="I176">
        <v>1</v>
      </c>
      <c r="J176">
        <v>1599</v>
      </c>
      <c r="L176">
        <v>0</v>
      </c>
      <c r="M176" t="s">
        <v>128</v>
      </c>
      <c r="N176" t="s">
        <v>31</v>
      </c>
      <c r="O176" t="s">
        <v>72</v>
      </c>
      <c r="P176" t="s">
        <v>73</v>
      </c>
      <c r="Q176" t="s">
        <v>61</v>
      </c>
      <c r="R176" t="s">
        <v>849</v>
      </c>
      <c r="S176" t="s">
        <v>35</v>
      </c>
      <c r="T176" t="s">
        <v>49</v>
      </c>
      <c r="U176" t="s">
        <v>158</v>
      </c>
      <c r="V176" t="s">
        <v>850</v>
      </c>
      <c r="W176" t="s">
        <v>52</v>
      </c>
    </row>
    <row r="177" spans="1:23" x14ac:dyDescent="0.3">
      <c r="A177" t="s">
        <v>875</v>
      </c>
      <c r="B177" t="s">
        <v>332</v>
      </c>
      <c r="C177" t="s">
        <v>876</v>
      </c>
      <c r="D177" t="s">
        <v>26</v>
      </c>
      <c r="E177" t="s">
        <v>877</v>
      </c>
      <c r="F177" t="s">
        <v>28</v>
      </c>
      <c r="G177" t="s">
        <v>878</v>
      </c>
      <c r="H177">
        <v>1699</v>
      </c>
      <c r="I177">
        <v>1</v>
      </c>
      <c r="J177">
        <v>1699</v>
      </c>
      <c r="L177">
        <v>0</v>
      </c>
      <c r="M177" t="s">
        <v>30</v>
      </c>
      <c r="N177" t="s">
        <v>46</v>
      </c>
      <c r="O177" t="s">
        <v>86</v>
      </c>
      <c r="P177" t="s">
        <v>87</v>
      </c>
      <c r="Q177" t="s">
        <v>61</v>
      </c>
      <c r="R177" t="s">
        <v>440</v>
      </c>
      <c r="S177" t="s">
        <v>35</v>
      </c>
      <c r="T177" t="s">
        <v>36</v>
      </c>
      <c r="W177" t="s">
        <v>37</v>
      </c>
    </row>
    <row r="178" spans="1:23" x14ac:dyDescent="0.3">
      <c r="A178" t="s">
        <v>879</v>
      </c>
      <c r="B178" t="s">
        <v>332</v>
      </c>
      <c r="C178" t="s">
        <v>880</v>
      </c>
      <c r="D178" t="s">
        <v>26</v>
      </c>
      <c r="E178" t="s">
        <v>881</v>
      </c>
      <c r="F178" t="s">
        <v>42</v>
      </c>
      <c r="G178" t="s">
        <v>882</v>
      </c>
      <c r="H178">
        <v>3199</v>
      </c>
      <c r="I178">
        <v>1</v>
      </c>
      <c r="J178">
        <v>3199</v>
      </c>
      <c r="K178" t="s">
        <v>777</v>
      </c>
      <c r="L178">
        <v>15</v>
      </c>
      <c r="M178" t="s">
        <v>70</v>
      </c>
      <c r="N178" t="s">
        <v>71</v>
      </c>
      <c r="O178" t="s">
        <v>95</v>
      </c>
      <c r="P178" t="s">
        <v>33</v>
      </c>
      <c r="Q178" t="s">
        <v>32</v>
      </c>
      <c r="R178" t="s">
        <v>883</v>
      </c>
      <c r="S178" t="s">
        <v>35</v>
      </c>
      <c r="T178" t="s">
        <v>49</v>
      </c>
      <c r="U178" t="s">
        <v>50</v>
      </c>
      <c r="V178" t="s">
        <v>884</v>
      </c>
      <c r="W178" t="s">
        <v>52</v>
      </c>
    </row>
    <row r="179" spans="1:23" x14ac:dyDescent="0.3">
      <c r="A179" t="s">
        <v>885</v>
      </c>
      <c r="B179" t="s">
        <v>319</v>
      </c>
      <c r="C179" t="s">
        <v>886</v>
      </c>
      <c r="D179" t="s">
        <v>40</v>
      </c>
      <c r="E179" t="s">
        <v>887</v>
      </c>
      <c r="F179" t="s">
        <v>58</v>
      </c>
      <c r="G179" t="s">
        <v>888</v>
      </c>
      <c r="H179">
        <v>2099</v>
      </c>
      <c r="I179">
        <v>1</v>
      </c>
      <c r="J179">
        <v>2099</v>
      </c>
      <c r="L179">
        <v>0</v>
      </c>
      <c r="M179" t="s">
        <v>45</v>
      </c>
      <c r="N179" t="s">
        <v>31</v>
      </c>
      <c r="O179" t="s">
        <v>108</v>
      </c>
      <c r="P179" t="s">
        <v>109</v>
      </c>
      <c r="Q179" t="s">
        <v>32</v>
      </c>
      <c r="R179" t="s">
        <v>440</v>
      </c>
      <c r="S179" t="s">
        <v>35</v>
      </c>
      <c r="T179" t="s">
        <v>36</v>
      </c>
      <c r="W179" t="s">
        <v>37</v>
      </c>
    </row>
    <row r="180" spans="1:23" x14ac:dyDescent="0.3">
      <c r="A180" t="s">
        <v>889</v>
      </c>
      <c r="B180" t="s">
        <v>319</v>
      </c>
      <c r="C180" t="s">
        <v>890</v>
      </c>
      <c r="D180" t="s">
        <v>26</v>
      </c>
      <c r="E180" t="s">
        <v>891</v>
      </c>
      <c r="F180" t="s">
        <v>67</v>
      </c>
      <c r="G180" t="s">
        <v>892</v>
      </c>
      <c r="H180">
        <v>6999</v>
      </c>
      <c r="I180">
        <v>1</v>
      </c>
      <c r="J180">
        <v>6999</v>
      </c>
      <c r="L180">
        <v>0</v>
      </c>
      <c r="M180" t="s">
        <v>30</v>
      </c>
      <c r="N180" t="s">
        <v>46</v>
      </c>
      <c r="O180" t="s">
        <v>116</v>
      </c>
      <c r="P180" t="s">
        <v>117</v>
      </c>
      <c r="Q180" t="s">
        <v>47</v>
      </c>
      <c r="R180" t="s">
        <v>467</v>
      </c>
      <c r="S180" t="s">
        <v>35</v>
      </c>
      <c r="T180" t="s">
        <v>49</v>
      </c>
      <c r="U180" t="s">
        <v>119</v>
      </c>
      <c r="V180" t="s">
        <v>893</v>
      </c>
      <c r="W180" t="s">
        <v>52</v>
      </c>
    </row>
    <row r="181" spans="1:23" x14ac:dyDescent="0.3">
      <c r="A181" t="s">
        <v>894</v>
      </c>
      <c r="B181" t="s">
        <v>319</v>
      </c>
      <c r="C181" t="s">
        <v>895</v>
      </c>
      <c r="D181" t="s">
        <v>26</v>
      </c>
      <c r="E181" t="s">
        <v>896</v>
      </c>
      <c r="F181" t="s">
        <v>79</v>
      </c>
      <c r="G181" t="s">
        <v>897</v>
      </c>
      <c r="H181">
        <v>899</v>
      </c>
      <c r="I181">
        <v>1</v>
      </c>
      <c r="J181">
        <v>899</v>
      </c>
      <c r="L181">
        <v>0</v>
      </c>
      <c r="M181" t="s">
        <v>60</v>
      </c>
      <c r="N181" t="s">
        <v>71</v>
      </c>
      <c r="O181" t="s">
        <v>129</v>
      </c>
      <c r="P181" t="s">
        <v>130</v>
      </c>
      <c r="Q181" t="s">
        <v>47</v>
      </c>
      <c r="R181" t="s">
        <v>440</v>
      </c>
      <c r="S181" t="s">
        <v>35</v>
      </c>
      <c r="T181" t="s">
        <v>49</v>
      </c>
      <c r="U181" t="s">
        <v>89</v>
      </c>
      <c r="V181" t="s">
        <v>898</v>
      </c>
      <c r="W181" t="s">
        <v>52</v>
      </c>
    </row>
    <row r="182" spans="1:23" x14ac:dyDescent="0.3">
      <c r="A182" t="s">
        <v>899</v>
      </c>
      <c r="B182" t="s">
        <v>356</v>
      </c>
      <c r="C182" t="s">
        <v>900</v>
      </c>
      <c r="D182" t="s">
        <v>26</v>
      </c>
      <c r="E182" t="s">
        <v>901</v>
      </c>
      <c r="F182" t="s">
        <v>28</v>
      </c>
      <c r="G182" t="s">
        <v>902</v>
      </c>
      <c r="H182">
        <v>1499</v>
      </c>
      <c r="I182">
        <v>1</v>
      </c>
      <c r="J182">
        <v>1499</v>
      </c>
      <c r="K182" t="s">
        <v>777</v>
      </c>
      <c r="L182">
        <v>15</v>
      </c>
      <c r="M182" t="s">
        <v>128</v>
      </c>
      <c r="N182" t="s">
        <v>31</v>
      </c>
      <c r="O182" t="s">
        <v>61</v>
      </c>
      <c r="P182" t="s">
        <v>62</v>
      </c>
      <c r="Q182" t="s">
        <v>61</v>
      </c>
      <c r="R182" t="s">
        <v>883</v>
      </c>
      <c r="S182" t="s">
        <v>35</v>
      </c>
      <c r="T182" t="s">
        <v>36</v>
      </c>
      <c r="W182" t="s">
        <v>37</v>
      </c>
    </row>
    <row r="183" spans="1:23" x14ac:dyDescent="0.3">
      <c r="A183" t="s">
        <v>903</v>
      </c>
      <c r="B183" t="s">
        <v>356</v>
      </c>
      <c r="C183" t="s">
        <v>904</v>
      </c>
      <c r="D183" t="s">
        <v>26</v>
      </c>
      <c r="E183" t="s">
        <v>905</v>
      </c>
      <c r="F183" t="s">
        <v>42</v>
      </c>
      <c r="G183" t="s">
        <v>906</v>
      </c>
      <c r="H183">
        <v>2999</v>
      </c>
      <c r="I183">
        <v>1</v>
      </c>
      <c r="J183">
        <v>2999</v>
      </c>
      <c r="L183">
        <v>0</v>
      </c>
      <c r="M183" t="s">
        <v>70</v>
      </c>
      <c r="N183" t="s">
        <v>46</v>
      </c>
      <c r="O183" t="s">
        <v>32</v>
      </c>
      <c r="P183" t="s">
        <v>33</v>
      </c>
      <c r="Q183" t="s">
        <v>32</v>
      </c>
      <c r="R183" t="s">
        <v>476</v>
      </c>
      <c r="S183" t="s">
        <v>35</v>
      </c>
      <c r="T183" t="s">
        <v>49</v>
      </c>
      <c r="U183" t="s">
        <v>75</v>
      </c>
      <c r="V183" t="s">
        <v>907</v>
      </c>
      <c r="W183" t="s">
        <v>52</v>
      </c>
    </row>
    <row r="184" spans="1:23" x14ac:dyDescent="0.3">
      <c r="A184" t="s">
        <v>908</v>
      </c>
      <c r="B184" t="s">
        <v>356</v>
      </c>
      <c r="C184" t="s">
        <v>909</v>
      </c>
      <c r="D184" t="s">
        <v>40</v>
      </c>
      <c r="E184" t="s">
        <v>910</v>
      </c>
      <c r="F184" t="s">
        <v>58</v>
      </c>
      <c r="G184" t="s">
        <v>911</v>
      </c>
      <c r="H184">
        <v>1899</v>
      </c>
      <c r="I184">
        <v>1</v>
      </c>
      <c r="J184">
        <v>1899</v>
      </c>
      <c r="L184">
        <v>0</v>
      </c>
      <c r="M184" t="s">
        <v>45</v>
      </c>
      <c r="N184" t="s">
        <v>71</v>
      </c>
      <c r="O184" t="s">
        <v>47</v>
      </c>
      <c r="P184" t="s">
        <v>47</v>
      </c>
      <c r="Q184" t="s">
        <v>47</v>
      </c>
      <c r="R184" t="s">
        <v>883</v>
      </c>
      <c r="S184" t="s">
        <v>35</v>
      </c>
      <c r="T184" t="s">
        <v>36</v>
      </c>
      <c r="W184" t="s">
        <v>37</v>
      </c>
    </row>
    <row r="185" spans="1:23" x14ac:dyDescent="0.3">
      <c r="A185" t="s">
        <v>912</v>
      </c>
      <c r="B185" t="s">
        <v>736</v>
      </c>
      <c r="C185" t="s">
        <v>913</v>
      </c>
      <c r="D185" t="s">
        <v>26</v>
      </c>
      <c r="E185" t="s">
        <v>914</v>
      </c>
      <c r="F185" t="s">
        <v>67</v>
      </c>
      <c r="G185" t="s">
        <v>915</v>
      </c>
      <c r="H185">
        <v>7499</v>
      </c>
      <c r="I185">
        <v>1</v>
      </c>
      <c r="J185">
        <v>7499</v>
      </c>
      <c r="L185">
        <v>0</v>
      </c>
      <c r="M185" t="s">
        <v>30</v>
      </c>
      <c r="N185" t="s">
        <v>31</v>
      </c>
      <c r="O185" t="s">
        <v>135</v>
      </c>
      <c r="P185" t="s">
        <v>136</v>
      </c>
      <c r="Q185" t="s">
        <v>47</v>
      </c>
      <c r="R185" t="s">
        <v>515</v>
      </c>
      <c r="S185" t="s">
        <v>35</v>
      </c>
      <c r="T185" t="s">
        <v>49</v>
      </c>
      <c r="U185" t="s">
        <v>50</v>
      </c>
      <c r="V185" t="s">
        <v>916</v>
      </c>
      <c r="W185" t="s">
        <v>52</v>
      </c>
    </row>
    <row r="186" spans="1:23" x14ac:dyDescent="0.3">
      <c r="A186" t="s">
        <v>917</v>
      </c>
      <c r="B186" t="s">
        <v>736</v>
      </c>
      <c r="C186" t="s">
        <v>918</v>
      </c>
      <c r="D186" t="s">
        <v>26</v>
      </c>
      <c r="E186" t="s">
        <v>919</v>
      </c>
      <c r="F186" t="s">
        <v>79</v>
      </c>
      <c r="G186" t="s">
        <v>920</v>
      </c>
      <c r="H186">
        <v>1299</v>
      </c>
      <c r="I186">
        <v>1</v>
      </c>
      <c r="J186">
        <v>1299</v>
      </c>
      <c r="K186" t="s">
        <v>777</v>
      </c>
      <c r="L186">
        <v>15</v>
      </c>
      <c r="M186" t="s">
        <v>60</v>
      </c>
      <c r="N186" t="s">
        <v>46</v>
      </c>
      <c r="O186" t="s">
        <v>156</v>
      </c>
      <c r="P186" t="s">
        <v>130</v>
      </c>
      <c r="Q186" t="s">
        <v>47</v>
      </c>
      <c r="R186" t="s">
        <v>467</v>
      </c>
      <c r="S186" t="s">
        <v>35</v>
      </c>
      <c r="T186" t="s">
        <v>36</v>
      </c>
      <c r="W186" t="s">
        <v>37</v>
      </c>
    </row>
    <row r="187" spans="1:23" x14ac:dyDescent="0.3">
      <c r="A187" t="s">
        <v>921</v>
      </c>
      <c r="B187" t="s">
        <v>736</v>
      </c>
      <c r="C187" t="s">
        <v>922</v>
      </c>
      <c r="D187" t="s">
        <v>26</v>
      </c>
      <c r="E187" t="s">
        <v>923</v>
      </c>
      <c r="F187" t="s">
        <v>28</v>
      </c>
      <c r="G187" t="s">
        <v>924</v>
      </c>
      <c r="H187">
        <v>1599</v>
      </c>
      <c r="I187">
        <v>1</v>
      </c>
      <c r="J187">
        <v>1599</v>
      </c>
      <c r="L187">
        <v>0</v>
      </c>
      <c r="M187" t="s">
        <v>45</v>
      </c>
      <c r="N187" t="s">
        <v>71</v>
      </c>
      <c r="O187" t="s">
        <v>164</v>
      </c>
      <c r="P187" t="s">
        <v>165</v>
      </c>
      <c r="Q187" t="s">
        <v>47</v>
      </c>
      <c r="R187" t="s">
        <v>476</v>
      </c>
      <c r="S187" t="s">
        <v>35</v>
      </c>
      <c r="T187" t="s">
        <v>49</v>
      </c>
      <c r="U187" t="s">
        <v>158</v>
      </c>
      <c r="V187" t="s">
        <v>893</v>
      </c>
      <c r="W187" t="s">
        <v>52</v>
      </c>
    </row>
    <row r="188" spans="1:23" x14ac:dyDescent="0.3">
      <c r="A188" t="s">
        <v>925</v>
      </c>
      <c r="B188" t="s">
        <v>342</v>
      </c>
      <c r="C188" t="s">
        <v>926</v>
      </c>
      <c r="D188" t="s">
        <v>26</v>
      </c>
      <c r="E188" t="s">
        <v>927</v>
      </c>
      <c r="F188" t="s">
        <v>42</v>
      </c>
      <c r="G188" t="s">
        <v>928</v>
      </c>
      <c r="H188">
        <v>3799</v>
      </c>
      <c r="I188">
        <v>1</v>
      </c>
      <c r="J188">
        <v>3799</v>
      </c>
      <c r="L188">
        <v>0</v>
      </c>
      <c r="M188" t="s">
        <v>128</v>
      </c>
      <c r="N188" t="s">
        <v>31</v>
      </c>
      <c r="O188" t="s">
        <v>171</v>
      </c>
      <c r="P188" t="s">
        <v>172</v>
      </c>
      <c r="Q188" t="s">
        <v>32</v>
      </c>
      <c r="R188" t="s">
        <v>498</v>
      </c>
      <c r="S188" t="s">
        <v>35</v>
      </c>
      <c r="T188" t="s">
        <v>36</v>
      </c>
      <c r="W188" t="s">
        <v>37</v>
      </c>
    </row>
    <row r="189" spans="1:23" x14ac:dyDescent="0.3">
      <c r="A189" t="s">
        <v>929</v>
      </c>
      <c r="B189" t="s">
        <v>342</v>
      </c>
      <c r="C189" t="s">
        <v>930</v>
      </c>
      <c r="D189" t="s">
        <v>40</v>
      </c>
      <c r="E189" t="s">
        <v>931</v>
      </c>
      <c r="F189" t="s">
        <v>58</v>
      </c>
      <c r="G189" t="s">
        <v>932</v>
      </c>
      <c r="H189">
        <v>2299</v>
      </c>
      <c r="I189">
        <v>1</v>
      </c>
      <c r="J189">
        <v>2299</v>
      </c>
      <c r="L189">
        <v>0</v>
      </c>
      <c r="M189" t="s">
        <v>30</v>
      </c>
      <c r="N189" t="s">
        <v>46</v>
      </c>
      <c r="O189" t="s">
        <v>177</v>
      </c>
      <c r="P189" t="s">
        <v>109</v>
      </c>
      <c r="Q189" t="s">
        <v>32</v>
      </c>
      <c r="R189" t="s">
        <v>476</v>
      </c>
      <c r="S189" t="s">
        <v>35</v>
      </c>
      <c r="T189" t="s">
        <v>49</v>
      </c>
      <c r="U189" t="s">
        <v>50</v>
      </c>
      <c r="V189" t="s">
        <v>907</v>
      </c>
      <c r="W189" t="s">
        <v>52</v>
      </c>
    </row>
    <row r="190" spans="1:23" x14ac:dyDescent="0.3">
      <c r="A190" t="s">
        <v>933</v>
      </c>
      <c r="B190" t="s">
        <v>342</v>
      </c>
      <c r="C190" t="s">
        <v>934</v>
      </c>
      <c r="D190" t="s">
        <v>26</v>
      </c>
      <c r="E190" t="s">
        <v>935</v>
      </c>
      <c r="F190" t="s">
        <v>67</v>
      </c>
      <c r="G190" t="s">
        <v>936</v>
      </c>
      <c r="H190">
        <v>5999</v>
      </c>
      <c r="I190">
        <v>1</v>
      </c>
      <c r="J190">
        <v>5999</v>
      </c>
      <c r="K190" t="s">
        <v>777</v>
      </c>
      <c r="L190">
        <v>15</v>
      </c>
      <c r="M190" t="s">
        <v>70</v>
      </c>
      <c r="N190" t="s">
        <v>71</v>
      </c>
      <c r="O190" t="s">
        <v>184</v>
      </c>
      <c r="P190" t="s">
        <v>185</v>
      </c>
      <c r="Q190" t="s">
        <v>47</v>
      </c>
      <c r="R190" t="s">
        <v>559</v>
      </c>
      <c r="S190" t="s">
        <v>35</v>
      </c>
      <c r="T190" t="s">
        <v>49</v>
      </c>
      <c r="U190" t="s">
        <v>119</v>
      </c>
      <c r="V190" t="s">
        <v>937</v>
      </c>
      <c r="W190" t="s">
        <v>52</v>
      </c>
    </row>
    <row r="191" spans="1:23" x14ac:dyDescent="0.3">
      <c r="A191" t="s">
        <v>938</v>
      </c>
      <c r="B191" t="s">
        <v>759</v>
      </c>
      <c r="C191" t="s">
        <v>939</v>
      </c>
      <c r="D191" t="s">
        <v>26</v>
      </c>
      <c r="E191" t="s">
        <v>940</v>
      </c>
      <c r="F191" t="s">
        <v>79</v>
      </c>
      <c r="G191" t="s">
        <v>941</v>
      </c>
      <c r="H191">
        <v>499</v>
      </c>
      <c r="I191">
        <v>2</v>
      </c>
      <c r="J191">
        <v>998</v>
      </c>
      <c r="L191">
        <v>0</v>
      </c>
      <c r="M191" t="s">
        <v>45</v>
      </c>
      <c r="N191" t="s">
        <v>31</v>
      </c>
      <c r="O191" t="s">
        <v>190</v>
      </c>
      <c r="P191" t="s">
        <v>172</v>
      </c>
      <c r="Q191" t="s">
        <v>32</v>
      </c>
      <c r="R191" t="s">
        <v>515</v>
      </c>
      <c r="S191" t="s">
        <v>35</v>
      </c>
      <c r="T191" t="s">
        <v>36</v>
      </c>
      <c r="W191" t="s">
        <v>37</v>
      </c>
    </row>
    <row r="192" spans="1:23" x14ac:dyDescent="0.3">
      <c r="A192" t="s">
        <v>942</v>
      </c>
      <c r="B192" t="s">
        <v>759</v>
      </c>
      <c r="C192" t="s">
        <v>943</v>
      </c>
      <c r="D192" t="s">
        <v>26</v>
      </c>
      <c r="E192" t="s">
        <v>944</v>
      </c>
      <c r="F192" t="s">
        <v>28</v>
      </c>
      <c r="G192" t="s">
        <v>945</v>
      </c>
      <c r="H192">
        <v>1799</v>
      </c>
      <c r="I192">
        <v>1</v>
      </c>
      <c r="J192">
        <v>1799</v>
      </c>
      <c r="L192">
        <v>0</v>
      </c>
      <c r="M192" t="s">
        <v>60</v>
      </c>
      <c r="N192" t="s">
        <v>46</v>
      </c>
      <c r="O192" t="s">
        <v>195</v>
      </c>
      <c r="P192" t="s">
        <v>33</v>
      </c>
      <c r="Q192" t="s">
        <v>32</v>
      </c>
      <c r="S192" t="s">
        <v>137</v>
      </c>
      <c r="T192" t="s">
        <v>36</v>
      </c>
      <c r="W192" t="s">
        <v>37</v>
      </c>
    </row>
    <row r="193" spans="1:23" x14ac:dyDescent="0.3">
      <c r="A193" t="s">
        <v>946</v>
      </c>
      <c r="B193" t="s">
        <v>759</v>
      </c>
      <c r="C193" t="s">
        <v>947</v>
      </c>
      <c r="D193" t="s">
        <v>26</v>
      </c>
      <c r="E193" t="s">
        <v>948</v>
      </c>
      <c r="F193" t="s">
        <v>42</v>
      </c>
      <c r="G193" t="s">
        <v>949</v>
      </c>
      <c r="H193">
        <v>2999</v>
      </c>
      <c r="I193">
        <v>1</v>
      </c>
      <c r="J193">
        <v>2999</v>
      </c>
      <c r="L193">
        <v>0</v>
      </c>
      <c r="M193" t="s">
        <v>30</v>
      </c>
      <c r="N193" t="s">
        <v>71</v>
      </c>
      <c r="O193" t="s">
        <v>202</v>
      </c>
      <c r="P193" t="s">
        <v>73</v>
      </c>
      <c r="Q193" t="s">
        <v>61</v>
      </c>
      <c r="R193" t="s">
        <v>528</v>
      </c>
      <c r="S193" t="s">
        <v>35</v>
      </c>
      <c r="T193" t="s">
        <v>49</v>
      </c>
      <c r="U193" t="s">
        <v>89</v>
      </c>
      <c r="V193" t="s">
        <v>950</v>
      </c>
      <c r="W193" t="s">
        <v>52</v>
      </c>
    </row>
    <row r="194" spans="1:23" x14ac:dyDescent="0.3">
      <c r="A194" t="s">
        <v>951</v>
      </c>
      <c r="B194" t="s">
        <v>365</v>
      </c>
      <c r="C194" t="s">
        <v>952</v>
      </c>
      <c r="D194" t="s">
        <v>40</v>
      </c>
      <c r="E194" t="s">
        <v>953</v>
      </c>
      <c r="F194" t="s">
        <v>58</v>
      </c>
      <c r="G194" t="s">
        <v>954</v>
      </c>
      <c r="H194">
        <v>2199</v>
      </c>
      <c r="I194">
        <v>1</v>
      </c>
      <c r="J194">
        <v>2199</v>
      </c>
      <c r="K194" t="s">
        <v>777</v>
      </c>
      <c r="L194">
        <v>15</v>
      </c>
      <c r="M194" t="s">
        <v>128</v>
      </c>
      <c r="N194" t="s">
        <v>31</v>
      </c>
      <c r="O194" t="s">
        <v>208</v>
      </c>
      <c r="P194" t="s">
        <v>209</v>
      </c>
      <c r="Q194" t="s">
        <v>61</v>
      </c>
      <c r="R194" t="s">
        <v>498</v>
      </c>
      <c r="S194" t="s">
        <v>35</v>
      </c>
      <c r="T194" t="s">
        <v>36</v>
      </c>
      <c r="W194" t="s">
        <v>37</v>
      </c>
    </row>
    <row r="195" spans="1:23" x14ac:dyDescent="0.3">
      <c r="A195" t="s">
        <v>955</v>
      </c>
      <c r="B195" t="s">
        <v>365</v>
      </c>
      <c r="C195" t="s">
        <v>956</v>
      </c>
      <c r="D195" t="s">
        <v>26</v>
      </c>
      <c r="E195" t="s">
        <v>957</v>
      </c>
      <c r="F195" t="s">
        <v>67</v>
      </c>
      <c r="G195" t="s">
        <v>958</v>
      </c>
      <c r="H195">
        <v>4899</v>
      </c>
      <c r="I195">
        <v>1</v>
      </c>
      <c r="J195">
        <v>4899</v>
      </c>
      <c r="L195">
        <v>0</v>
      </c>
      <c r="M195" t="s">
        <v>70</v>
      </c>
      <c r="N195" t="s">
        <v>46</v>
      </c>
      <c r="O195" t="s">
        <v>215</v>
      </c>
      <c r="P195" t="s">
        <v>216</v>
      </c>
      <c r="Q195" t="s">
        <v>61</v>
      </c>
      <c r="R195" t="s">
        <v>551</v>
      </c>
      <c r="S195" t="s">
        <v>35</v>
      </c>
      <c r="T195" t="s">
        <v>49</v>
      </c>
      <c r="U195" t="s">
        <v>75</v>
      </c>
      <c r="V195" t="s">
        <v>959</v>
      </c>
      <c r="W195" t="s">
        <v>52</v>
      </c>
    </row>
    <row r="196" spans="1:23" x14ac:dyDescent="0.3">
      <c r="A196" t="s">
        <v>960</v>
      </c>
      <c r="B196" t="s">
        <v>365</v>
      </c>
      <c r="C196" t="s">
        <v>961</v>
      </c>
      <c r="D196" t="s">
        <v>26</v>
      </c>
      <c r="E196" t="s">
        <v>962</v>
      </c>
      <c r="F196" t="s">
        <v>79</v>
      </c>
      <c r="G196" t="s">
        <v>963</v>
      </c>
      <c r="H196">
        <v>799</v>
      </c>
      <c r="I196">
        <v>1</v>
      </c>
      <c r="J196">
        <v>799</v>
      </c>
      <c r="L196">
        <v>0</v>
      </c>
      <c r="M196" t="s">
        <v>45</v>
      </c>
      <c r="N196" t="s">
        <v>71</v>
      </c>
      <c r="O196" t="s">
        <v>221</v>
      </c>
      <c r="P196" t="s">
        <v>209</v>
      </c>
      <c r="Q196" t="s">
        <v>61</v>
      </c>
      <c r="R196" t="s">
        <v>559</v>
      </c>
      <c r="S196" t="s">
        <v>35</v>
      </c>
      <c r="T196" t="s">
        <v>36</v>
      </c>
      <c r="W196" t="s">
        <v>37</v>
      </c>
    </row>
    <row r="197" spans="1:23" x14ac:dyDescent="0.3">
      <c r="A197" t="s">
        <v>964</v>
      </c>
      <c r="B197" t="s">
        <v>782</v>
      </c>
      <c r="C197" t="s">
        <v>965</v>
      </c>
      <c r="D197" t="s">
        <v>26</v>
      </c>
      <c r="E197" t="s">
        <v>966</v>
      </c>
      <c r="F197" t="s">
        <v>28</v>
      </c>
      <c r="G197" t="s">
        <v>967</v>
      </c>
      <c r="H197">
        <v>1999</v>
      </c>
      <c r="I197">
        <v>1</v>
      </c>
      <c r="J197">
        <v>1999</v>
      </c>
      <c r="L197">
        <v>0</v>
      </c>
      <c r="M197" t="s">
        <v>30</v>
      </c>
      <c r="N197" t="s">
        <v>31</v>
      </c>
      <c r="O197" t="s">
        <v>226</v>
      </c>
      <c r="P197" t="s">
        <v>62</v>
      </c>
      <c r="Q197" t="s">
        <v>61</v>
      </c>
      <c r="R197" t="s">
        <v>528</v>
      </c>
      <c r="S197" t="s">
        <v>35</v>
      </c>
      <c r="T197" t="s">
        <v>49</v>
      </c>
      <c r="U197" t="s">
        <v>50</v>
      </c>
      <c r="V197" t="s">
        <v>950</v>
      </c>
      <c r="W197" t="s">
        <v>52</v>
      </c>
    </row>
    <row r="198" spans="1:23" x14ac:dyDescent="0.3">
      <c r="A198" t="s">
        <v>968</v>
      </c>
      <c r="B198" t="s">
        <v>782</v>
      </c>
      <c r="C198" t="s">
        <v>969</v>
      </c>
      <c r="D198" t="s">
        <v>26</v>
      </c>
      <c r="E198" t="s">
        <v>970</v>
      </c>
      <c r="F198" t="s">
        <v>42</v>
      </c>
      <c r="G198" t="s">
        <v>971</v>
      </c>
      <c r="H198">
        <v>3499</v>
      </c>
      <c r="I198">
        <v>1</v>
      </c>
      <c r="J198">
        <v>3499</v>
      </c>
      <c r="K198" t="s">
        <v>777</v>
      </c>
      <c r="L198">
        <v>15</v>
      </c>
      <c r="M198" t="s">
        <v>60</v>
      </c>
      <c r="N198" t="s">
        <v>46</v>
      </c>
      <c r="O198" t="s">
        <v>233</v>
      </c>
      <c r="P198" t="s">
        <v>109</v>
      </c>
      <c r="Q198" t="s">
        <v>32</v>
      </c>
      <c r="R198" t="s">
        <v>572</v>
      </c>
      <c r="S198" t="s">
        <v>35</v>
      </c>
      <c r="T198" t="s">
        <v>49</v>
      </c>
      <c r="U198" t="s">
        <v>119</v>
      </c>
      <c r="V198" t="s">
        <v>972</v>
      </c>
      <c r="W198" t="s">
        <v>52</v>
      </c>
    </row>
    <row r="199" spans="1:23" x14ac:dyDescent="0.3">
      <c r="A199" t="s">
        <v>973</v>
      </c>
      <c r="B199" t="s">
        <v>782</v>
      </c>
      <c r="C199" t="s">
        <v>974</v>
      </c>
      <c r="D199" t="s">
        <v>40</v>
      </c>
      <c r="E199" t="s">
        <v>975</v>
      </c>
      <c r="F199" t="s">
        <v>58</v>
      </c>
      <c r="G199" t="s">
        <v>976</v>
      </c>
      <c r="H199">
        <v>2599</v>
      </c>
      <c r="I199">
        <v>1</v>
      </c>
      <c r="J199">
        <v>2599</v>
      </c>
      <c r="L199">
        <v>0</v>
      </c>
      <c r="M199" t="s">
        <v>45</v>
      </c>
      <c r="N199" t="s">
        <v>71</v>
      </c>
      <c r="O199" t="s">
        <v>238</v>
      </c>
      <c r="P199" t="s">
        <v>109</v>
      </c>
      <c r="Q199" t="s">
        <v>32</v>
      </c>
      <c r="R199" t="s">
        <v>528</v>
      </c>
      <c r="S199" t="s">
        <v>35</v>
      </c>
      <c r="T199" t="s">
        <v>36</v>
      </c>
      <c r="W199" t="s">
        <v>37</v>
      </c>
    </row>
    <row r="200" spans="1:23" x14ac:dyDescent="0.3">
      <c r="A200" t="s">
        <v>977</v>
      </c>
      <c r="B200" t="s">
        <v>378</v>
      </c>
      <c r="C200" t="s">
        <v>978</v>
      </c>
      <c r="D200" t="s">
        <v>26</v>
      </c>
      <c r="E200" t="s">
        <v>979</v>
      </c>
      <c r="F200" t="s">
        <v>67</v>
      </c>
      <c r="G200" t="s">
        <v>980</v>
      </c>
      <c r="H200">
        <v>5499</v>
      </c>
      <c r="I200">
        <v>1</v>
      </c>
      <c r="J200">
        <v>5499</v>
      </c>
      <c r="L200">
        <v>0</v>
      </c>
      <c r="M200" t="s">
        <v>128</v>
      </c>
      <c r="N200" t="s">
        <v>31</v>
      </c>
      <c r="O200" t="s">
        <v>243</v>
      </c>
      <c r="P200" t="s">
        <v>130</v>
      </c>
      <c r="Q200" t="s">
        <v>47</v>
      </c>
      <c r="R200" t="s">
        <v>671</v>
      </c>
      <c r="S200" t="s">
        <v>35</v>
      </c>
      <c r="T200" t="s">
        <v>49</v>
      </c>
      <c r="U200" t="s">
        <v>89</v>
      </c>
      <c r="V200" t="s">
        <v>981</v>
      </c>
      <c r="W200" t="s">
        <v>52</v>
      </c>
    </row>
    <row r="201" spans="1:23" x14ac:dyDescent="0.3">
      <c r="A201" t="s">
        <v>982</v>
      </c>
      <c r="B201" t="s">
        <v>378</v>
      </c>
      <c r="C201" t="s">
        <v>983</v>
      </c>
      <c r="D201" t="s">
        <v>26</v>
      </c>
      <c r="E201" t="s">
        <v>984</v>
      </c>
      <c r="F201" t="s">
        <v>79</v>
      </c>
      <c r="G201" t="s">
        <v>985</v>
      </c>
      <c r="H201">
        <v>999</v>
      </c>
      <c r="I201">
        <v>1</v>
      </c>
      <c r="J201">
        <v>999</v>
      </c>
      <c r="L201">
        <v>0</v>
      </c>
      <c r="M201" t="s">
        <v>70</v>
      </c>
      <c r="N201" t="s">
        <v>46</v>
      </c>
      <c r="O201" t="s">
        <v>32</v>
      </c>
      <c r="P201" t="s">
        <v>33</v>
      </c>
      <c r="Q201" t="s">
        <v>32</v>
      </c>
      <c r="R201" t="s">
        <v>551</v>
      </c>
      <c r="S201" t="s">
        <v>35</v>
      </c>
      <c r="T201" t="s">
        <v>36</v>
      </c>
      <c r="W201" t="s">
        <v>37</v>
      </c>
    </row>
    <row r="202" spans="1:23" x14ac:dyDescent="0.3">
      <c r="A202" t="s">
        <v>986</v>
      </c>
      <c r="B202" t="s">
        <v>378</v>
      </c>
      <c r="C202" t="s">
        <v>987</v>
      </c>
      <c r="D202" t="s">
        <v>26</v>
      </c>
      <c r="E202" t="s">
        <v>988</v>
      </c>
      <c r="F202" t="s">
        <v>28</v>
      </c>
      <c r="G202" t="s">
        <v>989</v>
      </c>
      <c r="H202">
        <v>1699</v>
      </c>
      <c r="I202">
        <v>1</v>
      </c>
      <c r="J202">
        <v>1699</v>
      </c>
      <c r="K202" t="s">
        <v>777</v>
      </c>
      <c r="L202">
        <v>15</v>
      </c>
      <c r="M202" t="s">
        <v>30</v>
      </c>
      <c r="N202" t="s">
        <v>71</v>
      </c>
      <c r="O202" t="s">
        <v>47</v>
      </c>
      <c r="P202" t="s">
        <v>47</v>
      </c>
      <c r="Q202" t="s">
        <v>47</v>
      </c>
      <c r="R202" t="s">
        <v>572</v>
      </c>
      <c r="S202" t="s">
        <v>35</v>
      </c>
      <c r="T202" t="s">
        <v>49</v>
      </c>
      <c r="U202" t="s">
        <v>158</v>
      </c>
      <c r="V202" t="s">
        <v>972</v>
      </c>
      <c r="W202" t="s">
        <v>52</v>
      </c>
    </row>
    <row r="203" spans="1:23" x14ac:dyDescent="0.3">
      <c r="A203" t="s">
        <v>990</v>
      </c>
      <c r="B203" t="s">
        <v>805</v>
      </c>
      <c r="C203" t="s">
        <v>991</v>
      </c>
      <c r="D203" t="s">
        <v>26</v>
      </c>
      <c r="E203" t="s">
        <v>992</v>
      </c>
      <c r="F203" t="s">
        <v>42</v>
      </c>
      <c r="G203" t="s">
        <v>993</v>
      </c>
      <c r="H203">
        <v>2799</v>
      </c>
      <c r="I203">
        <v>1</v>
      </c>
      <c r="J203">
        <v>2799</v>
      </c>
      <c r="L203">
        <v>0</v>
      </c>
      <c r="M203" t="s">
        <v>45</v>
      </c>
      <c r="N203" t="s">
        <v>31</v>
      </c>
      <c r="O203" t="s">
        <v>101</v>
      </c>
      <c r="P203" t="s">
        <v>102</v>
      </c>
      <c r="Q203" t="s">
        <v>47</v>
      </c>
      <c r="R203" t="s">
        <v>994</v>
      </c>
      <c r="S203" t="s">
        <v>35</v>
      </c>
      <c r="T203" t="s">
        <v>36</v>
      </c>
      <c r="W203" t="s">
        <v>37</v>
      </c>
    </row>
    <row r="204" spans="1:23" x14ac:dyDescent="0.3">
      <c r="A204" t="s">
        <v>995</v>
      </c>
      <c r="B204" t="s">
        <v>805</v>
      </c>
      <c r="C204" t="s">
        <v>996</v>
      </c>
      <c r="D204" t="s">
        <v>40</v>
      </c>
      <c r="E204" t="s">
        <v>997</v>
      </c>
      <c r="F204" t="s">
        <v>58</v>
      </c>
      <c r="G204" t="s">
        <v>998</v>
      </c>
      <c r="H204">
        <v>2399</v>
      </c>
      <c r="I204">
        <v>1</v>
      </c>
      <c r="J204">
        <v>2399</v>
      </c>
      <c r="L204">
        <v>0</v>
      </c>
      <c r="M204" t="s">
        <v>60</v>
      </c>
      <c r="N204" t="s">
        <v>46</v>
      </c>
      <c r="O204" t="s">
        <v>72</v>
      </c>
      <c r="P204" t="s">
        <v>73</v>
      </c>
      <c r="Q204" t="s">
        <v>61</v>
      </c>
      <c r="R204" t="s">
        <v>572</v>
      </c>
      <c r="S204" t="s">
        <v>35</v>
      </c>
      <c r="T204" t="s">
        <v>49</v>
      </c>
      <c r="U204" t="s">
        <v>75</v>
      </c>
      <c r="V204" t="s">
        <v>959</v>
      </c>
      <c r="W204" t="s">
        <v>52</v>
      </c>
    </row>
    <row r="205" spans="1:23" x14ac:dyDescent="0.3">
      <c r="A205" t="s">
        <v>999</v>
      </c>
      <c r="B205" t="s">
        <v>805</v>
      </c>
      <c r="C205" t="s">
        <v>1000</v>
      </c>
      <c r="D205" t="s">
        <v>26</v>
      </c>
      <c r="E205" t="s">
        <v>1001</v>
      </c>
      <c r="F205" t="s">
        <v>67</v>
      </c>
      <c r="G205" t="s">
        <v>1002</v>
      </c>
      <c r="H205">
        <v>6799</v>
      </c>
      <c r="I205">
        <v>1</v>
      </c>
      <c r="J205">
        <v>6799</v>
      </c>
      <c r="L205">
        <v>0</v>
      </c>
      <c r="M205" t="s">
        <v>30</v>
      </c>
      <c r="N205" t="s">
        <v>71</v>
      </c>
      <c r="O205" t="s">
        <v>86</v>
      </c>
      <c r="P205" t="s">
        <v>87</v>
      </c>
      <c r="Q205" t="s">
        <v>61</v>
      </c>
      <c r="R205" t="s">
        <v>692</v>
      </c>
      <c r="S205" t="s">
        <v>35</v>
      </c>
      <c r="T205" t="s">
        <v>49</v>
      </c>
      <c r="U205" t="s">
        <v>50</v>
      </c>
      <c r="V205" t="s">
        <v>1003</v>
      </c>
      <c r="W205" t="s">
        <v>52</v>
      </c>
    </row>
    <row r="206" spans="1:23" x14ac:dyDescent="0.3">
      <c r="A206" t="s">
        <v>1004</v>
      </c>
      <c r="B206" t="s">
        <v>388</v>
      </c>
      <c r="C206" t="s">
        <v>1005</v>
      </c>
      <c r="D206" t="s">
        <v>26</v>
      </c>
      <c r="E206" t="s">
        <v>1006</v>
      </c>
      <c r="F206" t="s">
        <v>79</v>
      </c>
      <c r="G206" t="s">
        <v>1007</v>
      </c>
      <c r="H206">
        <v>1499</v>
      </c>
      <c r="I206">
        <v>1</v>
      </c>
      <c r="J206">
        <v>1499</v>
      </c>
      <c r="K206" t="s">
        <v>777</v>
      </c>
      <c r="L206">
        <v>15</v>
      </c>
      <c r="M206" t="s">
        <v>128</v>
      </c>
      <c r="N206" t="s">
        <v>31</v>
      </c>
      <c r="O206" t="s">
        <v>95</v>
      </c>
      <c r="P206" t="s">
        <v>33</v>
      </c>
      <c r="Q206" t="s">
        <v>32</v>
      </c>
      <c r="R206" t="s">
        <v>671</v>
      </c>
      <c r="S206" t="s">
        <v>35</v>
      </c>
      <c r="T206" t="s">
        <v>36</v>
      </c>
      <c r="W206" t="s">
        <v>37</v>
      </c>
    </row>
    <row r="207" spans="1:23" x14ac:dyDescent="0.3">
      <c r="A207" t="s">
        <v>1008</v>
      </c>
      <c r="B207" t="s">
        <v>388</v>
      </c>
      <c r="C207" t="s">
        <v>1009</v>
      </c>
      <c r="D207" t="s">
        <v>26</v>
      </c>
      <c r="E207" t="s">
        <v>1010</v>
      </c>
      <c r="F207" t="s">
        <v>28</v>
      </c>
      <c r="G207" t="s">
        <v>1011</v>
      </c>
      <c r="H207">
        <v>2299</v>
      </c>
      <c r="I207">
        <v>1</v>
      </c>
      <c r="J207">
        <v>2299</v>
      </c>
      <c r="L207">
        <v>0</v>
      </c>
      <c r="M207" t="s">
        <v>70</v>
      </c>
      <c r="N207" t="s">
        <v>46</v>
      </c>
      <c r="O207" t="s">
        <v>108</v>
      </c>
      <c r="P207" t="s">
        <v>109</v>
      </c>
      <c r="Q207" t="s">
        <v>32</v>
      </c>
      <c r="R207" t="s">
        <v>994</v>
      </c>
      <c r="S207" t="s">
        <v>35</v>
      </c>
      <c r="T207" t="s">
        <v>49</v>
      </c>
      <c r="U207" t="s">
        <v>119</v>
      </c>
      <c r="V207" t="s">
        <v>1012</v>
      </c>
      <c r="W207" t="s">
        <v>52</v>
      </c>
    </row>
    <row r="208" spans="1:23" x14ac:dyDescent="0.3">
      <c r="A208" t="s">
        <v>1013</v>
      </c>
      <c r="B208" t="s">
        <v>388</v>
      </c>
      <c r="C208" t="s">
        <v>1014</v>
      </c>
      <c r="D208" t="s">
        <v>26</v>
      </c>
      <c r="E208" t="s">
        <v>1015</v>
      </c>
      <c r="F208" t="s">
        <v>42</v>
      </c>
      <c r="G208" t="s">
        <v>1016</v>
      </c>
      <c r="H208">
        <v>4999</v>
      </c>
      <c r="I208">
        <v>1</v>
      </c>
      <c r="J208">
        <v>4999</v>
      </c>
      <c r="L208">
        <v>0</v>
      </c>
      <c r="M208" t="s">
        <v>45</v>
      </c>
      <c r="N208" t="s">
        <v>71</v>
      </c>
      <c r="O208" t="s">
        <v>116</v>
      </c>
      <c r="P208" t="s">
        <v>117</v>
      </c>
      <c r="Q208" t="s">
        <v>47</v>
      </c>
      <c r="R208" t="s">
        <v>1017</v>
      </c>
      <c r="S208" t="s">
        <v>35</v>
      </c>
      <c r="T208" t="s">
        <v>36</v>
      </c>
      <c r="W208" t="s">
        <v>37</v>
      </c>
    </row>
    <row r="209" spans="1:23" x14ac:dyDescent="0.3">
      <c r="A209" t="s">
        <v>1018</v>
      </c>
      <c r="B209" t="s">
        <v>397</v>
      </c>
      <c r="C209" t="s">
        <v>1019</v>
      </c>
      <c r="D209" t="s">
        <v>40</v>
      </c>
      <c r="E209" t="s">
        <v>1020</v>
      </c>
      <c r="F209" t="s">
        <v>58</v>
      </c>
      <c r="G209" t="s">
        <v>1021</v>
      </c>
      <c r="H209">
        <v>2099</v>
      </c>
      <c r="I209">
        <v>1</v>
      </c>
      <c r="J209">
        <v>2099</v>
      </c>
      <c r="L209">
        <v>0</v>
      </c>
      <c r="M209" t="s">
        <v>30</v>
      </c>
      <c r="N209" t="s">
        <v>31</v>
      </c>
      <c r="O209" t="s">
        <v>129</v>
      </c>
      <c r="P209" t="s">
        <v>130</v>
      </c>
      <c r="Q209" t="s">
        <v>47</v>
      </c>
      <c r="R209" t="s">
        <v>994</v>
      </c>
      <c r="S209" t="s">
        <v>35</v>
      </c>
      <c r="T209" t="s">
        <v>49</v>
      </c>
      <c r="U209" t="s">
        <v>89</v>
      </c>
      <c r="V209" t="s">
        <v>981</v>
      </c>
      <c r="W209" t="s">
        <v>52</v>
      </c>
    </row>
    <row r="210" spans="1:23" x14ac:dyDescent="0.3">
      <c r="A210" t="s">
        <v>1022</v>
      </c>
      <c r="B210" t="s">
        <v>397</v>
      </c>
      <c r="C210" t="s">
        <v>1023</v>
      </c>
      <c r="D210" t="s">
        <v>26</v>
      </c>
      <c r="E210" t="s">
        <v>1024</v>
      </c>
      <c r="F210" t="s">
        <v>67</v>
      </c>
      <c r="G210" t="s">
        <v>1025</v>
      </c>
      <c r="H210">
        <v>5799</v>
      </c>
      <c r="I210">
        <v>1</v>
      </c>
      <c r="J210">
        <v>5799</v>
      </c>
      <c r="K210" t="s">
        <v>777</v>
      </c>
      <c r="L210">
        <v>15</v>
      </c>
      <c r="M210" t="s">
        <v>60</v>
      </c>
      <c r="N210" t="s">
        <v>46</v>
      </c>
      <c r="O210" t="s">
        <v>61</v>
      </c>
      <c r="P210" t="s">
        <v>62</v>
      </c>
      <c r="Q210" t="s">
        <v>61</v>
      </c>
      <c r="R210" t="s">
        <v>705</v>
      </c>
      <c r="S210" t="s">
        <v>35</v>
      </c>
      <c r="T210" t="s">
        <v>49</v>
      </c>
      <c r="U210" t="s">
        <v>50</v>
      </c>
      <c r="V210" t="s">
        <v>1026</v>
      </c>
      <c r="W210" t="s">
        <v>52</v>
      </c>
    </row>
    <row r="211" spans="1:23" x14ac:dyDescent="0.3">
      <c r="A211" t="s">
        <v>1027</v>
      </c>
      <c r="B211" t="s">
        <v>397</v>
      </c>
      <c r="C211" t="s">
        <v>1028</v>
      </c>
      <c r="D211" t="s">
        <v>26</v>
      </c>
      <c r="E211" t="s">
        <v>1029</v>
      </c>
      <c r="F211" t="s">
        <v>79</v>
      </c>
      <c r="G211" t="s">
        <v>1030</v>
      </c>
      <c r="H211">
        <v>1199</v>
      </c>
      <c r="I211">
        <v>1</v>
      </c>
      <c r="J211">
        <v>1199</v>
      </c>
      <c r="L211">
        <v>0</v>
      </c>
      <c r="M211" t="s">
        <v>45</v>
      </c>
      <c r="N211" t="s">
        <v>71</v>
      </c>
      <c r="O211" t="s">
        <v>32</v>
      </c>
      <c r="P211" t="s">
        <v>33</v>
      </c>
      <c r="Q211" t="s">
        <v>32</v>
      </c>
      <c r="R211" t="s">
        <v>692</v>
      </c>
      <c r="S211" t="s">
        <v>35</v>
      </c>
      <c r="T211" t="s">
        <v>36</v>
      </c>
      <c r="W211" t="s">
        <v>37</v>
      </c>
    </row>
    <row r="212" spans="1:23" x14ac:dyDescent="0.3">
      <c r="A212" t="s">
        <v>1031</v>
      </c>
      <c r="B212" t="s">
        <v>431</v>
      </c>
      <c r="C212" t="s">
        <v>1032</v>
      </c>
      <c r="D212" t="s">
        <v>26</v>
      </c>
      <c r="E212" t="s">
        <v>1033</v>
      </c>
      <c r="F212" t="s">
        <v>28</v>
      </c>
      <c r="G212" t="s">
        <v>1034</v>
      </c>
      <c r="H212">
        <v>1899</v>
      </c>
      <c r="I212">
        <v>1</v>
      </c>
      <c r="J212">
        <v>1899</v>
      </c>
      <c r="L212">
        <v>0</v>
      </c>
      <c r="M212" t="s">
        <v>128</v>
      </c>
      <c r="N212" t="s">
        <v>31</v>
      </c>
      <c r="O212" t="s">
        <v>47</v>
      </c>
      <c r="P212" t="s">
        <v>47</v>
      </c>
      <c r="Q212" t="s">
        <v>47</v>
      </c>
      <c r="R212" t="s">
        <v>1017</v>
      </c>
      <c r="S212" t="s">
        <v>35</v>
      </c>
      <c r="T212" t="s">
        <v>49</v>
      </c>
      <c r="U212" t="s">
        <v>158</v>
      </c>
      <c r="V212" t="s">
        <v>1003</v>
      </c>
      <c r="W212" t="s">
        <v>52</v>
      </c>
    </row>
    <row r="213" spans="1:23" x14ac:dyDescent="0.3">
      <c r="A213" t="s">
        <v>1035</v>
      </c>
      <c r="B213" t="s">
        <v>431</v>
      </c>
      <c r="C213" t="s">
        <v>1036</v>
      </c>
      <c r="D213" t="s">
        <v>26</v>
      </c>
      <c r="E213" t="s">
        <v>1037</v>
      </c>
      <c r="F213" t="s">
        <v>42</v>
      </c>
      <c r="G213" t="s">
        <v>1038</v>
      </c>
      <c r="H213">
        <v>3699</v>
      </c>
      <c r="I213">
        <v>1</v>
      </c>
      <c r="J213">
        <v>3699</v>
      </c>
      <c r="L213">
        <v>0</v>
      </c>
      <c r="M213" t="s">
        <v>70</v>
      </c>
      <c r="N213" t="s">
        <v>46</v>
      </c>
      <c r="O213" t="s">
        <v>135</v>
      </c>
      <c r="P213" t="s">
        <v>136</v>
      </c>
      <c r="Q213" t="s">
        <v>47</v>
      </c>
      <c r="R213" t="s">
        <v>723</v>
      </c>
      <c r="S213" t="s">
        <v>35</v>
      </c>
      <c r="T213" t="s">
        <v>36</v>
      </c>
      <c r="W213" t="s">
        <v>37</v>
      </c>
    </row>
    <row r="214" spans="1:23" x14ac:dyDescent="0.3">
      <c r="A214" t="s">
        <v>1039</v>
      </c>
      <c r="B214" t="s">
        <v>431</v>
      </c>
      <c r="C214" t="s">
        <v>1040</v>
      </c>
      <c r="D214" t="s">
        <v>40</v>
      </c>
      <c r="E214" t="s">
        <v>1041</v>
      </c>
      <c r="F214" t="s">
        <v>58</v>
      </c>
      <c r="G214" t="s">
        <v>1042</v>
      </c>
      <c r="H214">
        <v>2699</v>
      </c>
      <c r="I214">
        <v>1</v>
      </c>
      <c r="J214">
        <v>2699</v>
      </c>
      <c r="K214" t="s">
        <v>777</v>
      </c>
      <c r="L214">
        <v>15</v>
      </c>
      <c r="M214" t="s">
        <v>30</v>
      </c>
      <c r="N214" t="s">
        <v>71</v>
      </c>
      <c r="O214" t="s">
        <v>156</v>
      </c>
      <c r="P214" t="s">
        <v>130</v>
      </c>
      <c r="Q214" t="s">
        <v>47</v>
      </c>
      <c r="R214" t="s">
        <v>1017</v>
      </c>
      <c r="S214" t="s">
        <v>35</v>
      </c>
      <c r="T214" t="s">
        <v>49</v>
      </c>
      <c r="U214" t="s">
        <v>75</v>
      </c>
      <c r="V214" t="s">
        <v>1043</v>
      </c>
      <c r="W214" t="s">
        <v>52</v>
      </c>
    </row>
    <row r="215" spans="1:23" x14ac:dyDescent="0.3">
      <c r="A215" t="s">
        <v>1044</v>
      </c>
      <c r="B215" t="s">
        <v>849</v>
      </c>
      <c r="C215" t="s">
        <v>1045</v>
      </c>
      <c r="D215" t="s">
        <v>26</v>
      </c>
      <c r="E215" t="s">
        <v>1046</v>
      </c>
      <c r="F215" t="s">
        <v>67</v>
      </c>
      <c r="G215" t="s">
        <v>1047</v>
      </c>
      <c r="H215">
        <v>4999</v>
      </c>
      <c r="I215">
        <v>1</v>
      </c>
      <c r="J215">
        <v>4999</v>
      </c>
      <c r="L215">
        <v>0</v>
      </c>
      <c r="M215" t="s">
        <v>45</v>
      </c>
      <c r="N215" t="s">
        <v>31</v>
      </c>
      <c r="O215" t="s">
        <v>164</v>
      </c>
      <c r="P215" t="s">
        <v>165</v>
      </c>
      <c r="Q215" t="s">
        <v>47</v>
      </c>
      <c r="R215" t="s">
        <v>714</v>
      </c>
      <c r="S215" t="s">
        <v>35</v>
      </c>
      <c r="T215" t="s">
        <v>49</v>
      </c>
      <c r="U215" t="s">
        <v>50</v>
      </c>
      <c r="V215" t="s">
        <v>1048</v>
      </c>
      <c r="W215" t="s">
        <v>52</v>
      </c>
    </row>
    <row r="216" spans="1:23" x14ac:dyDescent="0.3">
      <c r="A216" t="s">
        <v>1049</v>
      </c>
      <c r="B216" t="s">
        <v>849</v>
      </c>
      <c r="C216" t="s">
        <v>1050</v>
      </c>
      <c r="D216" t="s">
        <v>26</v>
      </c>
      <c r="E216" t="s">
        <v>1051</v>
      </c>
      <c r="F216" t="s">
        <v>79</v>
      </c>
      <c r="G216" t="s">
        <v>1052</v>
      </c>
      <c r="H216">
        <v>899</v>
      </c>
      <c r="I216">
        <v>2</v>
      </c>
      <c r="J216">
        <v>1798</v>
      </c>
      <c r="L216">
        <v>0</v>
      </c>
      <c r="M216" t="s">
        <v>60</v>
      </c>
      <c r="N216" t="s">
        <v>46</v>
      </c>
      <c r="O216" t="s">
        <v>171</v>
      </c>
      <c r="P216" t="s">
        <v>172</v>
      </c>
      <c r="Q216" t="s">
        <v>32</v>
      </c>
      <c r="R216" t="s">
        <v>705</v>
      </c>
      <c r="S216" t="s">
        <v>35</v>
      </c>
      <c r="T216" t="s">
        <v>36</v>
      </c>
      <c r="W216" t="s">
        <v>37</v>
      </c>
    </row>
    <row r="217" spans="1:23" x14ac:dyDescent="0.3">
      <c r="A217" t="s">
        <v>1053</v>
      </c>
      <c r="B217" t="s">
        <v>849</v>
      </c>
      <c r="C217" t="s">
        <v>1054</v>
      </c>
      <c r="D217" t="s">
        <v>26</v>
      </c>
      <c r="E217" t="s">
        <v>1055</v>
      </c>
      <c r="F217" t="s">
        <v>28</v>
      </c>
      <c r="G217" t="s">
        <v>1056</v>
      </c>
      <c r="H217">
        <v>1599</v>
      </c>
      <c r="I217">
        <v>1</v>
      </c>
      <c r="J217">
        <v>1599</v>
      </c>
      <c r="L217">
        <v>0</v>
      </c>
      <c r="M217" t="s">
        <v>30</v>
      </c>
      <c r="N217" t="s">
        <v>71</v>
      </c>
      <c r="O217" t="s">
        <v>177</v>
      </c>
      <c r="P217" t="s">
        <v>109</v>
      </c>
      <c r="Q217" t="s">
        <v>32</v>
      </c>
      <c r="R217" t="s">
        <v>723</v>
      </c>
      <c r="S217" t="s">
        <v>35</v>
      </c>
      <c r="T217" t="s">
        <v>49</v>
      </c>
      <c r="U217" t="s">
        <v>119</v>
      </c>
      <c r="V217" t="s">
        <v>1026</v>
      </c>
      <c r="W217" t="s">
        <v>52</v>
      </c>
    </row>
    <row r="218" spans="1:23" x14ac:dyDescent="0.3">
      <c r="A218" t="s">
        <v>1057</v>
      </c>
      <c r="B218" t="s">
        <v>440</v>
      </c>
      <c r="C218" t="s">
        <v>1058</v>
      </c>
      <c r="D218" t="s">
        <v>26</v>
      </c>
      <c r="E218" t="s">
        <v>1059</v>
      </c>
      <c r="F218" t="s">
        <v>42</v>
      </c>
      <c r="G218" t="s">
        <v>1060</v>
      </c>
      <c r="H218">
        <v>2599</v>
      </c>
      <c r="I218">
        <v>1</v>
      </c>
      <c r="J218">
        <v>2599</v>
      </c>
      <c r="K218" t="s">
        <v>777</v>
      </c>
      <c r="L218">
        <v>15</v>
      </c>
      <c r="M218" t="s">
        <v>128</v>
      </c>
      <c r="N218" t="s">
        <v>31</v>
      </c>
      <c r="O218" t="s">
        <v>184</v>
      </c>
      <c r="P218" t="s">
        <v>185</v>
      </c>
      <c r="Q218" t="s">
        <v>47</v>
      </c>
      <c r="R218" t="s">
        <v>727</v>
      </c>
      <c r="S218" t="s">
        <v>35</v>
      </c>
      <c r="T218" t="s">
        <v>36</v>
      </c>
      <c r="W218" t="s">
        <v>37</v>
      </c>
    </row>
    <row r="219" spans="1:23" x14ac:dyDescent="0.3">
      <c r="A219" t="s">
        <v>1061</v>
      </c>
      <c r="B219" t="s">
        <v>440</v>
      </c>
      <c r="C219" t="s">
        <v>1062</v>
      </c>
      <c r="D219" t="s">
        <v>40</v>
      </c>
      <c r="E219" t="s">
        <v>1063</v>
      </c>
      <c r="F219" t="s">
        <v>58</v>
      </c>
      <c r="G219" t="s">
        <v>1064</v>
      </c>
      <c r="H219">
        <v>2399</v>
      </c>
      <c r="I219">
        <v>1</v>
      </c>
      <c r="J219">
        <v>2399</v>
      </c>
      <c r="L219">
        <v>0</v>
      </c>
      <c r="M219" t="s">
        <v>70</v>
      </c>
      <c r="N219" t="s">
        <v>46</v>
      </c>
      <c r="O219" t="s">
        <v>190</v>
      </c>
      <c r="P219" t="s">
        <v>172</v>
      </c>
      <c r="Q219" t="s">
        <v>32</v>
      </c>
      <c r="R219" t="s">
        <v>723</v>
      </c>
      <c r="S219" t="s">
        <v>35</v>
      </c>
      <c r="T219" t="s">
        <v>49</v>
      </c>
      <c r="U219" t="s">
        <v>89</v>
      </c>
      <c r="V219" t="s">
        <v>1065</v>
      </c>
      <c r="W219" t="s">
        <v>52</v>
      </c>
    </row>
    <row r="220" spans="1:23" x14ac:dyDescent="0.3">
      <c r="A220" t="s">
        <v>1066</v>
      </c>
      <c r="B220" t="s">
        <v>440</v>
      </c>
      <c r="C220" t="s">
        <v>1067</v>
      </c>
      <c r="D220" t="s">
        <v>26</v>
      </c>
      <c r="E220" t="s">
        <v>1068</v>
      </c>
      <c r="F220" t="s">
        <v>67</v>
      </c>
      <c r="G220" t="s">
        <v>1069</v>
      </c>
      <c r="H220">
        <v>6499</v>
      </c>
      <c r="I220">
        <v>1</v>
      </c>
      <c r="J220">
        <v>6499</v>
      </c>
      <c r="L220">
        <v>0</v>
      </c>
      <c r="M220" t="s">
        <v>45</v>
      </c>
      <c r="N220" t="s">
        <v>71</v>
      </c>
      <c r="O220" t="s">
        <v>195</v>
      </c>
      <c r="P220" t="s">
        <v>33</v>
      </c>
      <c r="Q220" t="s">
        <v>32</v>
      </c>
      <c r="R220" t="s">
        <v>737</v>
      </c>
      <c r="S220" t="s">
        <v>35</v>
      </c>
      <c r="T220" t="s">
        <v>49</v>
      </c>
      <c r="U220" t="s">
        <v>50</v>
      </c>
      <c r="V220" t="s">
        <v>1070</v>
      </c>
      <c r="W220" t="s">
        <v>52</v>
      </c>
    </row>
    <row r="221" spans="1:23" x14ac:dyDescent="0.3">
      <c r="A221" t="s">
        <v>1071</v>
      </c>
      <c r="B221" t="s">
        <v>883</v>
      </c>
      <c r="C221" t="s">
        <v>1072</v>
      </c>
      <c r="D221" t="s">
        <v>26</v>
      </c>
      <c r="E221" t="s">
        <v>1073</v>
      </c>
      <c r="F221" t="s">
        <v>79</v>
      </c>
      <c r="G221" t="s">
        <v>1074</v>
      </c>
      <c r="H221">
        <v>499</v>
      </c>
      <c r="I221">
        <v>2</v>
      </c>
      <c r="J221">
        <v>998</v>
      </c>
      <c r="L221">
        <v>0</v>
      </c>
      <c r="M221" t="s">
        <v>30</v>
      </c>
      <c r="N221" t="s">
        <v>31</v>
      </c>
      <c r="O221" t="s">
        <v>202</v>
      </c>
      <c r="P221" t="s">
        <v>73</v>
      </c>
      <c r="Q221" t="s">
        <v>61</v>
      </c>
      <c r="R221" t="s">
        <v>714</v>
      </c>
      <c r="S221" t="s">
        <v>35</v>
      </c>
      <c r="T221" t="s">
        <v>36</v>
      </c>
      <c r="W221" t="s">
        <v>37</v>
      </c>
    </row>
    <row r="222" spans="1:23" x14ac:dyDescent="0.3">
      <c r="A222" t="s">
        <v>1075</v>
      </c>
      <c r="B222" t="s">
        <v>883</v>
      </c>
      <c r="C222" t="s">
        <v>1076</v>
      </c>
      <c r="D222" t="s">
        <v>26</v>
      </c>
      <c r="E222" t="s">
        <v>1077</v>
      </c>
      <c r="F222" t="s">
        <v>28</v>
      </c>
      <c r="G222" t="s">
        <v>1078</v>
      </c>
      <c r="H222">
        <v>1999</v>
      </c>
      <c r="I222">
        <v>1</v>
      </c>
      <c r="J222">
        <v>1999</v>
      </c>
      <c r="L222">
        <v>0</v>
      </c>
      <c r="M222" t="s">
        <v>60</v>
      </c>
      <c r="N222" t="s">
        <v>46</v>
      </c>
      <c r="O222" t="s">
        <v>208</v>
      </c>
      <c r="P222" t="s">
        <v>209</v>
      </c>
      <c r="Q222" t="s">
        <v>61</v>
      </c>
      <c r="S222" t="s">
        <v>137</v>
      </c>
      <c r="T222" t="s">
        <v>36</v>
      </c>
      <c r="W222" t="s">
        <v>37</v>
      </c>
    </row>
    <row r="223" spans="1:23" x14ac:dyDescent="0.3">
      <c r="A223" t="s">
        <v>1079</v>
      </c>
      <c r="B223" t="s">
        <v>883</v>
      </c>
      <c r="C223" t="s">
        <v>1080</v>
      </c>
      <c r="D223" t="s">
        <v>26</v>
      </c>
      <c r="E223" t="s">
        <v>1081</v>
      </c>
      <c r="F223" t="s">
        <v>42</v>
      </c>
      <c r="G223" t="s">
        <v>1082</v>
      </c>
      <c r="H223">
        <v>5499</v>
      </c>
      <c r="I223">
        <v>1</v>
      </c>
      <c r="J223">
        <v>5499</v>
      </c>
      <c r="K223" t="s">
        <v>777</v>
      </c>
      <c r="L223">
        <v>15</v>
      </c>
      <c r="M223" t="s">
        <v>45</v>
      </c>
      <c r="N223" t="s">
        <v>71</v>
      </c>
      <c r="O223" t="s">
        <v>215</v>
      </c>
      <c r="P223" t="s">
        <v>216</v>
      </c>
      <c r="Q223" t="s">
        <v>61</v>
      </c>
      <c r="R223" t="s">
        <v>750</v>
      </c>
      <c r="S223" t="s">
        <v>35</v>
      </c>
      <c r="T223" t="s">
        <v>49</v>
      </c>
      <c r="U223" t="s">
        <v>75</v>
      </c>
      <c r="V223" t="s">
        <v>1083</v>
      </c>
      <c r="W223" t="s">
        <v>52</v>
      </c>
    </row>
    <row r="224" spans="1:23" x14ac:dyDescent="0.3">
      <c r="A224" t="s">
        <v>1084</v>
      </c>
      <c r="B224" t="s">
        <v>467</v>
      </c>
      <c r="C224" t="s">
        <v>1085</v>
      </c>
      <c r="D224" t="s">
        <v>40</v>
      </c>
      <c r="E224" t="s">
        <v>1086</v>
      </c>
      <c r="F224" t="s">
        <v>58</v>
      </c>
      <c r="G224" t="s">
        <v>1087</v>
      </c>
      <c r="H224">
        <v>2799</v>
      </c>
      <c r="I224">
        <v>1</v>
      </c>
      <c r="J224">
        <v>2799</v>
      </c>
      <c r="L224">
        <v>0</v>
      </c>
      <c r="M224" t="s">
        <v>128</v>
      </c>
      <c r="N224" t="s">
        <v>31</v>
      </c>
      <c r="O224" t="s">
        <v>221</v>
      </c>
      <c r="P224" t="s">
        <v>209</v>
      </c>
      <c r="Q224" t="s">
        <v>61</v>
      </c>
      <c r="R224" t="s">
        <v>727</v>
      </c>
      <c r="S224" t="s">
        <v>35</v>
      </c>
      <c r="T224" t="s">
        <v>36</v>
      </c>
      <c r="W224" t="s">
        <v>37</v>
      </c>
    </row>
    <row r="225" spans="1:23" x14ac:dyDescent="0.3">
      <c r="A225" t="s">
        <v>1088</v>
      </c>
      <c r="B225" t="s">
        <v>467</v>
      </c>
      <c r="C225" t="s">
        <v>1089</v>
      </c>
      <c r="D225" t="s">
        <v>26</v>
      </c>
      <c r="E225" t="s">
        <v>1090</v>
      </c>
      <c r="F225" t="s">
        <v>67</v>
      </c>
      <c r="G225" t="s">
        <v>1091</v>
      </c>
      <c r="H225">
        <v>5299</v>
      </c>
      <c r="I225">
        <v>1</v>
      </c>
      <c r="J225">
        <v>5299</v>
      </c>
      <c r="L225">
        <v>0</v>
      </c>
      <c r="M225" t="s">
        <v>70</v>
      </c>
      <c r="N225" t="s">
        <v>46</v>
      </c>
      <c r="O225" t="s">
        <v>226</v>
      </c>
      <c r="P225" t="s">
        <v>62</v>
      </c>
      <c r="Q225" t="s">
        <v>61</v>
      </c>
      <c r="R225" t="s">
        <v>760</v>
      </c>
      <c r="S225" t="s">
        <v>35</v>
      </c>
      <c r="T225" t="s">
        <v>49</v>
      </c>
      <c r="U225" t="s">
        <v>158</v>
      </c>
      <c r="V225" t="s">
        <v>1092</v>
      </c>
      <c r="W225" t="s">
        <v>52</v>
      </c>
    </row>
    <row r="226" spans="1:23" x14ac:dyDescent="0.3">
      <c r="A226" t="s">
        <v>1093</v>
      </c>
      <c r="B226" t="s">
        <v>467</v>
      </c>
      <c r="C226" t="s">
        <v>1094</v>
      </c>
      <c r="D226" t="s">
        <v>26</v>
      </c>
      <c r="E226" t="s">
        <v>1095</v>
      </c>
      <c r="F226" t="s">
        <v>79</v>
      </c>
      <c r="G226" t="s">
        <v>1096</v>
      </c>
      <c r="H226">
        <v>1099</v>
      </c>
      <c r="I226">
        <v>1</v>
      </c>
      <c r="J226">
        <v>1099</v>
      </c>
      <c r="L226">
        <v>0</v>
      </c>
      <c r="M226" t="s">
        <v>30</v>
      </c>
      <c r="N226" t="s">
        <v>71</v>
      </c>
      <c r="O226" t="s">
        <v>233</v>
      </c>
      <c r="P226" t="s">
        <v>109</v>
      </c>
      <c r="Q226" t="s">
        <v>32</v>
      </c>
      <c r="R226" t="s">
        <v>737</v>
      </c>
      <c r="S226" t="s">
        <v>35</v>
      </c>
      <c r="T226" t="s">
        <v>49</v>
      </c>
      <c r="U226" t="s">
        <v>50</v>
      </c>
      <c r="V226" t="s">
        <v>1070</v>
      </c>
      <c r="W226" t="s">
        <v>52</v>
      </c>
    </row>
    <row r="227" spans="1:23" x14ac:dyDescent="0.3">
      <c r="A227" t="s">
        <v>1097</v>
      </c>
      <c r="B227" t="s">
        <v>476</v>
      </c>
      <c r="C227" t="s">
        <v>1098</v>
      </c>
      <c r="D227" t="s">
        <v>26</v>
      </c>
      <c r="E227" t="s">
        <v>1099</v>
      </c>
      <c r="F227" t="s">
        <v>28</v>
      </c>
      <c r="G227" t="s">
        <v>1100</v>
      </c>
      <c r="H227">
        <v>2499</v>
      </c>
      <c r="I227">
        <v>1</v>
      </c>
      <c r="J227">
        <v>2499</v>
      </c>
      <c r="K227" t="s">
        <v>1101</v>
      </c>
      <c r="L227">
        <v>20</v>
      </c>
      <c r="M227" t="s">
        <v>45</v>
      </c>
      <c r="N227" t="s">
        <v>31</v>
      </c>
      <c r="O227" t="s">
        <v>32</v>
      </c>
      <c r="P227" t="s">
        <v>33</v>
      </c>
      <c r="Q227" t="s">
        <v>32</v>
      </c>
      <c r="R227" t="s">
        <v>551</v>
      </c>
      <c r="S227" t="s">
        <v>35</v>
      </c>
      <c r="T227" t="s">
        <v>36</v>
      </c>
      <c r="W227" t="s">
        <v>37</v>
      </c>
    </row>
    <row r="228" spans="1:23" x14ac:dyDescent="0.3">
      <c r="A228" t="s">
        <v>1102</v>
      </c>
      <c r="B228" t="s">
        <v>476</v>
      </c>
      <c r="C228" t="s">
        <v>1103</v>
      </c>
      <c r="D228" t="s">
        <v>26</v>
      </c>
      <c r="E228" t="s">
        <v>1104</v>
      </c>
      <c r="F228" t="s">
        <v>67</v>
      </c>
      <c r="G228" t="s">
        <v>1105</v>
      </c>
      <c r="H228">
        <v>6499</v>
      </c>
      <c r="I228">
        <v>1</v>
      </c>
      <c r="J228">
        <v>6499</v>
      </c>
      <c r="K228" t="s">
        <v>1101</v>
      </c>
      <c r="L228">
        <v>20</v>
      </c>
      <c r="M228" t="s">
        <v>60</v>
      </c>
      <c r="N228" t="s">
        <v>46</v>
      </c>
      <c r="O228" t="s">
        <v>47</v>
      </c>
      <c r="P228" t="s">
        <v>47</v>
      </c>
      <c r="Q228" t="s">
        <v>47</v>
      </c>
      <c r="R228" t="s">
        <v>671</v>
      </c>
      <c r="S228" t="s">
        <v>35</v>
      </c>
      <c r="T228" t="s">
        <v>49</v>
      </c>
      <c r="U228" t="s">
        <v>89</v>
      </c>
      <c r="V228" t="s">
        <v>884</v>
      </c>
      <c r="W228" t="s">
        <v>121</v>
      </c>
    </row>
    <row r="229" spans="1:23" x14ac:dyDescent="0.3">
      <c r="A229" t="s">
        <v>1106</v>
      </c>
      <c r="B229" t="s">
        <v>476</v>
      </c>
      <c r="C229" t="s">
        <v>1107</v>
      </c>
      <c r="D229" t="s">
        <v>40</v>
      </c>
      <c r="E229" t="s">
        <v>1108</v>
      </c>
      <c r="F229" t="s">
        <v>79</v>
      </c>
      <c r="G229" t="s">
        <v>1109</v>
      </c>
      <c r="H229">
        <v>1499</v>
      </c>
      <c r="I229">
        <v>1</v>
      </c>
      <c r="J229">
        <v>1499</v>
      </c>
      <c r="L229">
        <v>0</v>
      </c>
      <c r="M229" t="s">
        <v>30</v>
      </c>
      <c r="N229" t="s">
        <v>71</v>
      </c>
      <c r="O229" t="s">
        <v>135</v>
      </c>
      <c r="P229" t="s">
        <v>136</v>
      </c>
      <c r="Q229" t="s">
        <v>47</v>
      </c>
      <c r="R229" t="s">
        <v>572</v>
      </c>
      <c r="S229" t="s">
        <v>35</v>
      </c>
      <c r="T229" t="s">
        <v>36</v>
      </c>
      <c r="W229" t="s">
        <v>37</v>
      </c>
    </row>
    <row r="230" spans="1:23" x14ac:dyDescent="0.3">
      <c r="A230" t="s">
        <v>1110</v>
      </c>
      <c r="B230" t="s">
        <v>476</v>
      </c>
      <c r="C230" t="s">
        <v>1111</v>
      </c>
      <c r="D230" t="s">
        <v>26</v>
      </c>
      <c r="E230" t="s">
        <v>1112</v>
      </c>
      <c r="F230" t="s">
        <v>42</v>
      </c>
      <c r="G230" t="s">
        <v>1113</v>
      </c>
      <c r="H230">
        <v>2899</v>
      </c>
      <c r="I230">
        <v>1</v>
      </c>
      <c r="J230">
        <v>2899</v>
      </c>
      <c r="K230" t="s">
        <v>1101</v>
      </c>
      <c r="L230">
        <v>20</v>
      </c>
      <c r="M230" t="s">
        <v>70</v>
      </c>
      <c r="N230" t="s">
        <v>31</v>
      </c>
      <c r="O230" t="s">
        <v>624</v>
      </c>
      <c r="P230" t="s">
        <v>136</v>
      </c>
      <c r="Q230" t="s">
        <v>47</v>
      </c>
      <c r="R230" t="s">
        <v>994</v>
      </c>
      <c r="S230" t="s">
        <v>35</v>
      </c>
      <c r="T230" t="s">
        <v>49</v>
      </c>
      <c r="U230" t="s">
        <v>50</v>
      </c>
      <c r="V230" t="s">
        <v>907</v>
      </c>
      <c r="W230" t="s">
        <v>52</v>
      </c>
    </row>
    <row r="231" spans="1:23" x14ac:dyDescent="0.3">
      <c r="A231" t="s">
        <v>1114</v>
      </c>
      <c r="B231" t="s">
        <v>515</v>
      </c>
      <c r="C231" t="s">
        <v>1115</v>
      </c>
      <c r="D231" t="s">
        <v>26</v>
      </c>
      <c r="E231" t="s">
        <v>1116</v>
      </c>
      <c r="F231" t="s">
        <v>28</v>
      </c>
      <c r="G231" t="s">
        <v>1117</v>
      </c>
      <c r="H231">
        <v>1599</v>
      </c>
      <c r="I231">
        <v>2</v>
      </c>
      <c r="J231">
        <v>3198</v>
      </c>
      <c r="L231">
        <v>0</v>
      </c>
      <c r="M231" t="s">
        <v>45</v>
      </c>
      <c r="N231" t="s">
        <v>46</v>
      </c>
      <c r="O231" t="s">
        <v>1118</v>
      </c>
      <c r="P231" t="s">
        <v>1119</v>
      </c>
      <c r="Q231" t="s">
        <v>47</v>
      </c>
      <c r="R231" t="s">
        <v>994</v>
      </c>
      <c r="S231" t="s">
        <v>35</v>
      </c>
      <c r="T231" t="s">
        <v>36</v>
      </c>
      <c r="W231" t="s">
        <v>37</v>
      </c>
    </row>
    <row r="232" spans="1:23" x14ac:dyDescent="0.3">
      <c r="A232" t="s">
        <v>1120</v>
      </c>
      <c r="B232" t="s">
        <v>515</v>
      </c>
      <c r="C232" t="s">
        <v>1121</v>
      </c>
      <c r="D232" t="s">
        <v>26</v>
      </c>
      <c r="E232" t="s">
        <v>1122</v>
      </c>
      <c r="F232" t="s">
        <v>58</v>
      </c>
      <c r="G232" t="s">
        <v>1123</v>
      </c>
      <c r="H232">
        <v>1799</v>
      </c>
      <c r="I232">
        <v>1</v>
      </c>
      <c r="J232">
        <v>1799</v>
      </c>
      <c r="K232" t="s">
        <v>1101</v>
      </c>
      <c r="L232">
        <v>20</v>
      </c>
      <c r="M232" t="s">
        <v>128</v>
      </c>
      <c r="N232" t="s">
        <v>71</v>
      </c>
      <c r="O232" t="s">
        <v>1124</v>
      </c>
      <c r="P232" t="s">
        <v>1125</v>
      </c>
      <c r="Q232" t="s">
        <v>47</v>
      </c>
      <c r="R232" t="s">
        <v>692</v>
      </c>
      <c r="S232" t="s">
        <v>35</v>
      </c>
      <c r="T232" t="s">
        <v>36</v>
      </c>
      <c r="W232" t="s">
        <v>37</v>
      </c>
    </row>
    <row r="233" spans="1:23" x14ac:dyDescent="0.3">
      <c r="A233" t="s">
        <v>1126</v>
      </c>
      <c r="B233" t="s">
        <v>515</v>
      </c>
      <c r="C233" t="s">
        <v>1127</v>
      </c>
      <c r="D233" t="s">
        <v>26</v>
      </c>
      <c r="E233" t="s">
        <v>495</v>
      </c>
      <c r="F233" t="s">
        <v>67</v>
      </c>
      <c r="G233" t="s">
        <v>496</v>
      </c>
      <c r="H233">
        <v>3299</v>
      </c>
      <c r="I233">
        <v>1</v>
      </c>
      <c r="J233">
        <v>3299</v>
      </c>
      <c r="L233">
        <v>0</v>
      </c>
      <c r="M233" t="s">
        <v>30</v>
      </c>
      <c r="N233" t="s">
        <v>31</v>
      </c>
      <c r="O233" t="s">
        <v>1128</v>
      </c>
      <c r="P233" t="s">
        <v>1129</v>
      </c>
      <c r="Q233" t="s">
        <v>47</v>
      </c>
      <c r="R233" t="s">
        <v>1017</v>
      </c>
      <c r="S233" t="s">
        <v>35</v>
      </c>
      <c r="T233" t="s">
        <v>49</v>
      </c>
      <c r="U233" t="s">
        <v>119</v>
      </c>
      <c r="V233" t="s">
        <v>937</v>
      </c>
      <c r="W233" t="s">
        <v>121</v>
      </c>
    </row>
    <row r="234" spans="1:23" x14ac:dyDescent="0.3">
      <c r="A234" t="s">
        <v>1130</v>
      </c>
      <c r="B234" t="s">
        <v>515</v>
      </c>
      <c r="C234" t="s">
        <v>1131</v>
      </c>
      <c r="D234" t="s">
        <v>40</v>
      </c>
      <c r="E234" t="s">
        <v>1132</v>
      </c>
      <c r="F234" t="s">
        <v>79</v>
      </c>
      <c r="G234" t="s">
        <v>1133</v>
      </c>
      <c r="H234">
        <v>599</v>
      </c>
      <c r="I234">
        <v>2</v>
      </c>
      <c r="J234">
        <v>1198</v>
      </c>
      <c r="K234" t="s">
        <v>1101</v>
      </c>
      <c r="L234">
        <v>20</v>
      </c>
      <c r="M234" t="s">
        <v>60</v>
      </c>
      <c r="N234" t="s">
        <v>46</v>
      </c>
      <c r="O234" t="s">
        <v>1134</v>
      </c>
      <c r="P234" t="s">
        <v>1119</v>
      </c>
      <c r="Q234" t="s">
        <v>47</v>
      </c>
      <c r="R234" t="s">
        <v>692</v>
      </c>
      <c r="S234" t="s">
        <v>35</v>
      </c>
      <c r="T234" t="s">
        <v>36</v>
      </c>
      <c r="W234" t="s">
        <v>37</v>
      </c>
    </row>
    <row r="235" spans="1:23" x14ac:dyDescent="0.3">
      <c r="A235" t="s">
        <v>1135</v>
      </c>
      <c r="B235" t="s">
        <v>498</v>
      </c>
      <c r="C235" t="s">
        <v>1136</v>
      </c>
      <c r="D235" t="s">
        <v>26</v>
      </c>
      <c r="E235" t="s">
        <v>1137</v>
      </c>
      <c r="F235" t="s">
        <v>28</v>
      </c>
      <c r="G235" t="s">
        <v>1138</v>
      </c>
      <c r="H235">
        <v>2199</v>
      </c>
      <c r="I235">
        <v>1</v>
      </c>
      <c r="J235">
        <v>2199</v>
      </c>
      <c r="L235">
        <v>0</v>
      </c>
      <c r="M235" t="s">
        <v>70</v>
      </c>
      <c r="N235" t="s">
        <v>71</v>
      </c>
      <c r="O235" t="s">
        <v>1139</v>
      </c>
      <c r="P235" t="s">
        <v>102</v>
      </c>
      <c r="Q235" t="s">
        <v>47</v>
      </c>
      <c r="R235" t="s">
        <v>705</v>
      </c>
      <c r="S235" t="s">
        <v>35</v>
      </c>
      <c r="T235" t="s">
        <v>49</v>
      </c>
      <c r="U235" t="s">
        <v>50</v>
      </c>
      <c r="V235" t="s">
        <v>950</v>
      </c>
      <c r="W235" t="s">
        <v>52</v>
      </c>
    </row>
    <row r="236" spans="1:23" x14ac:dyDescent="0.3">
      <c r="A236" t="s">
        <v>1140</v>
      </c>
      <c r="B236" t="s">
        <v>498</v>
      </c>
      <c r="C236" t="s">
        <v>1141</v>
      </c>
      <c r="D236" t="s">
        <v>26</v>
      </c>
      <c r="E236" t="s">
        <v>1142</v>
      </c>
      <c r="F236" t="s">
        <v>42</v>
      </c>
      <c r="G236" t="s">
        <v>310</v>
      </c>
      <c r="H236">
        <v>2499</v>
      </c>
      <c r="I236">
        <v>1</v>
      </c>
      <c r="J236">
        <v>2499</v>
      </c>
      <c r="K236" t="s">
        <v>1101</v>
      </c>
      <c r="L236">
        <v>20</v>
      </c>
      <c r="M236" t="s">
        <v>45</v>
      </c>
      <c r="N236" t="s">
        <v>31</v>
      </c>
      <c r="O236" t="s">
        <v>1143</v>
      </c>
      <c r="P236" t="s">
        <v>1144</v>
      </c>
      <c r="Q236" t="s">
        <v>47</v>
      </c>
      <c r="R236" t="s">
        <v>705</v>
      </c>
      <c r="S236" t="s">
        <v>35</v>
      </c>
      <c r="T236" t="s">
        <v>36</v>
      </c>
      <c r="W236" t="s">
        <v>37</v>
      </c>
    </row>
    <row r="237" spans="1:23" x14ac:dyDescent="0.3">
      <c r="A237" t="s">
        <v>1145</v>
      </c>
      <c r="B237" t="s">
        <v>498</v>
      </c>
      <c r="C237" t="s">
        <v>1146</v>
      </c>
      <c r="D237" t="s">
        <v>26</v>
      </c>
      <c r="E237" t="s">
        <v>1147</v>
      </c>
      <c r="F237" t="s">
        <v>58</v>
      </c>
      <c r="G237" t="s">
        <v>1148</v>
      </c>
      <c r="H237">
        <v>2999</v>
      </c>
      <c r="I237">
        <v>1</v>
      </c>
      <c r="J237">
        <v>2999</v>
      </c>
      <c r="L237">
        <v>0</v>
      </c>
      <c r="M237" t="s">
        <v>30</v>
      </c>
      <c r="N237" t="s">
        <v>46</v>
      </c>
      <c r="O237" t="s">
        <v>1149</v>
      </c>
      <c r="P237" t="s">
        <v>1150</v>
      </c>
      <c r="Q237" t="s">
        <v>47</v>
      </c>
      <c r="R237" t="s">
        <v>714</v>
      </c>
      <c r="S237" t="s">
        <v>35</v>
      </c>
      <c r="T237" t="s">
        <v>49</v>
      </c>
      <c r="U237" t="s">
        <v>75</v>
      </c>
      <c r="V237" t="s">
        <v>972</v>
      </c>
      <c r="W237" t="s">
        <v>52</v>
      </c>
    </row>
    <row r="238" spans="1:23" x14ac:dyDescent="0.3">
      <c r="A238" t="s">
        <v>1151</v>
      </c>
      <c r="B238" t="s">
        <v>498</v>
      </c>
      <c r="C238" t="s">
        <v>1152</v>
      </c>
      <c r="D238" t="s">
        <v>26</v>
      </c>
      <c r="E238" t="s">
        <v>1153</v>
      </c>
      <c r="F238" t="s">
        <v>67</v>
      </c>
      <c r="G238" t="s">
        <v>1154</v>
      </c>
      <c r="H238">
        <v>7999</v>
      </c>
      <c r="I238">
        <v>1</v>
      </c>
      <c r="J238">
        <v>7999</v>
      </c>
      <c r="K238" t="s">
        <v>1101</v>
      </c>
      <c r="L238">
        <v>20</v>
      </c>
      <c r="M238" t="s">
        <v>128</v>
      </c>
      <c r="N238" t="s">
        <v>71</v>
      </c>
      <c r="O238" t="s">
        <v>1155</v>
      </c>
      <c r="P238" t="s">
        <v>1156</v>
      </c>
      <c r="Q238" t="s">
        <v>47</v>
      </c>
      <c r="R238" t="s">
        <v>714</v>
      </c>
      <c r="S238" t="s">
        <v>35</v>
      </c>
      <c r="T238" t="s">
        <v>36</v>
      </c>
      <c r="W238" t="s">
        <v>37</v>
      </c>
    </row>
    <row r="239" spans="1:23" x14ac:dyDescent="0.3">
      <c r="A239" t="s">
        <v>1157</v>
      </c>
      <c r="B239" t="s">
        <v>559</v>
      </c>
      <c r="C239" t="s">
        <v>1158</v>
      </c>
      <c r="D239" t="s">
        <v>40</v>
      </c>
      <c r="E239" t="s">
        <v>1159</v>
      </c>
      <c r="F239" t="s">
        <v>28</v>
      </c>
      <c r="G239" t="s">
        <v>1160</v>
      </c>
      <c r="H239">
        <v>1999</v>
      </c>
      <c r="I239">
        <v>1</v>
      </c>
      <c r="J239">
        <v>1999</v>
      </c>
      <c r="L239">
        <v>0</v>
      </c>
      <c r="M239" t="s">
        <v>45</v>
      </c>
      <c r="N239" t="s">
        <v>31</v>
      </c>
      <c r="O239" t="s">
        <v>1161</v>
      </c>
      <c r="P239" t="s">
        <v>73</v>
      </c>
      <c r="Q239" t="s">
        <v>61</v>
      </c>
      <c r="R239" t="s">
        <v>723</v>
      </c>
      <c r="S239" t="s">
        <v>35</v>
      </c>
      <c r="T239" t="s">
        <v>36</v>
      </c>
      <c r="W239" t="s">
        <v>37</v>
      </c>
    </row>
    <row r="240" spans="1:23" x14ac:dyDescent="0.3">
      <c r="A240" t="s">
        <v>1162</v>
      </c>
      <c r="B240" t="s">
        <v>559</v>
      </c>
      <c r="C240" t="s">
        <v>1163</v>
      </c>
      <c r="D240" t="s">
        <v>26</v>
      </c>
      <c r="E240" t="s">
        <v>1164</v>
      </c>
      <c r="F240" t="s">
        <v>79</v>
      </c>
      <c r="G240" t="s">
        <v>1165</v>
      </c>
      <c r="H240">
        <v>499</v>
      </c>
      <c r="I240">
        <v>2</v>
      </c>
      <c r="J240">
        <v>998</v>
      </c>
      <c r="K240" t="s">
        <v>1101</v>
      </c>
      <c r="L240">
        <v>20</v>
      </c>
      <c r="M240" t="s">
        <v>60</v>
      </c>
      <c r="N240" t="s">
        <v>46</v>
      </c>
      <c r="O240" t="s">
        <v>1166</v>
      </c>
      <c r="P240" t="s">
        <v>209</v>
      </c>
      <c r="Q240" t="s">
        <v>61</v>
      </c>
      <c r="R240" t="s">
        <v>723</v>
      </c>
      <c r="S240" t="s">
        <v>35</v>
      </c>
      <c r="T240" t="s">
        <v>36</v>
      </c>
      <c r="W240" t="s">
        <v>37</v>
      </c>
    </row>
    <row r="241" spans="1:23" x14ac:dyDescent="0.3">
      <c r="A241" t="s">
        <v>1167</v>
      </c>
      <c r="B241" t="s">
        <v>559</v>
      </c>
      <c r="C241" t="s">
        <v>1168</v>
      </c>
      <c r="D241" t="s">
        <v>26</v>
      </c>
      <c r="E241" t="s">
        <v>1169</v>
      </c>
      <c r="F241" t="s">
        <v>42</v>
      </c>
      <c r="G241" t="s">
        <v>1170</v>
      </c>
      <c r="H241">
        <v>4999</v>
      </c>
      <c r="I241">
        <v>1</v>
      </c>
      <c r="J241">
        <v>4999</v>
      </c>
      <c r="L241">
        <v>0</v>
      </c>
      <c r="M241" t="s">
        <v>70</v>
      </c>
      <c r="N241" t="s">
        <v>71</v>
      </c>
      <c r="O241" t="s">
        <v>1171</v>
      </c>
      <c r="P241" t="s">
        <v>1171</v>
      </c>
      <c r="Q241" t="s">
        <v>32</v>
      </c>
      <c r="R241" t="s">
        <v>714</v>
      </c>
      <c r="S241" t="s">
        <v>35</v>
      </c>
      <c r="T241" t="s">
        <v>49</v>
      </c>
      <c r="U241" t="s">
        <v>50</v>
      </c>
      <c r="V241" t="s">
        <v>981</v>
      </c>
      <c r="W241" t="s">
        <v>52</v>
      </c>
    </row>
    <row r="242" spans="1:23" x14ac:dyDescent="0.3">
      <c r="A242" t="s">
        <v>1172</v>
      </c>
      <c r="B242" t="s">
        <v>559</v>
      </c>
      <c r="C242" t="s">
        <v>1173</v>
      </c>
      <c r="D242" t="s">
        <v>26</v>
      </c>
      <c r="E242" t="s">
        <v>1174</v>
      </c>
      <c r="F242" t="s">
        <v>28</v>
      </c>
      <c r="G242" t="s">
        <v>1175</v>
      </c>
      <c r="H242">
        <v>2299</v>
      </c>
      <c r="I242">
        <v>1</v>
      </c>
      <c r="J242">
        <v>2299</v>
      </c>
      <c r="K242" t="s">
        <v>1101</v>
      </c>
      <c r="L242">
        <v>20</v>
      </c>
      <c r="M242" t="s">
        <v>30</v>
      </c>
      <c r="N242" t="s">
        <v>31</v>
      </c>
      <c r="O242" t="s">
        <v>32</v>
      </c>
      <c r="P242" t="s">
        <v>33</v>
      </c>
      <c r="Q242" t="s">
        <v>32</v>
      </c>
      <c r="R242" t="s">
        <v>723</v>
      </c>
      <c r="S242" t="s">
        <v>35</v>
      </c>
      <c r="T242" t="s">
        <v>36</v>
      </c>
      <c r="W242" t="s">
        <v>37</v>
      </c>
    </row>
    <row r="243" spans="1:23" x14ac:dyDescent="0.3">
      <c r="A243" t="s">
        <v>1176</v>
      </c>
      <c r="B243" t="s">
        <v>528</v>
      </c>
      <c r="C243" t="s">
        <v>1177</v>
      </c>
      <c r="D243" t="s">
        <v>26</v>
      </c>
      <c r="E243" t="s">
        <v>1178</v>
      </c>
      <c r="F243" t="s">
        <v>58</v>
      </c>
      <c r="G243" t="s">
        <v>866</v>
      </c>
      <c r="H243">
        <v>2599</v>
      </c>
      <c r="I243">
        <v>1</v>
      </c>
      <c r="J243">
        <v>2599</v>
      </c>
      <c r="L243">
        <v>0</v>
      </c>
      <c r="M243" t="s">
        <v>45</v>
      </c>
      <c r="N243" t="s">
        <v>46</v>
      </c>
      <c r="O243" t="s">
        <v>61</v>
      </c>
      <c r="P243" t="s">
        <v>62</v>
      </c>
      <c r="Q243" t="s">
        <v>61</v>
      </c>
      <c r="R243" t="s">
        <v>727</v>
      </c>
      <c r="S243" t="s">
        <v>35</v>
      </c>
      <c r="T243" t="s">
        <v>49</v>
      </c>
      <c r="U243" t="s">
        <v>89</v>
      </c>
      <c r="V243" t="s">
        <v>1003</v>
      </c>
      <c r="W243" t="s">
        <v>52</v>
      </c>
    </row>
    <row r="244" spans="1:23" x14ac:dyDescent="0.3">
      <c r="A244" t="s">
        <v>1179</v>
      </c>
      <c r="B244" t="s">
        <v>528</v>
      </c>
      <c r="C244" t="s">
        <v>1180</v>
      </c>
      <c r="D244" t="s">
        <v>40</v>
      </c>
      <c r="E244" t="s">
        <v>1181</v>
      </c>
      <c r="F244" t="s">
        <v>67</v>
      </c>
      <c r="G244" t="s">
        <v>1182</v>
      </c>
      <c r="H244">
        <v>8999</v>
      </c>
      <c r="I244">
        <v>1</v>
      </c>
      <c r="J244">
        <v>8999</v>
      </c>
      <c r="K244" t="s">
        <v>1101</v>
      </c>
      <c r="L244">
        <v>20</v>
      </c>
      <c r="M244" t="s">
        <v>128</v>
      </c>
      <c r="N244" t="s">
        <v>71</v>
      </c>
      <c r="O244" t="s">
        <v>47</v>
      </c>
      <c r="P244" t="s">
        <v>47</v>
      </c>
      <c r="Q244" t="s">
        <v>47</v>
      </c>
      <c r="R244" t="s">
        <v>750</v>
      </c>
      <c r="S244" t="s">
        <v>35</v>
      </c>
      <c r="T244" t="s">
        <v>49</v>
      </c>
      <c r="U244" t="s">
        <v>50</v>
      </c>
      <c r="V244" t="s">
        <v>1026</v>
      </c>
      <c r="W244" t="s">
        <v>121</v>
      </c>
    </row>
    <row r="245" spans="1:23" x14ac:dyDescent="0.3">
      <c r="A245" t="s">
        <v>1183</v>
      </c>
      <c r="B245" t="s">
        <v>528</v>
      </c>
      <c r="C245" t="s">
        <v>1184</v>
      </c>
      <c r="D245" t="s">
        <v>26</v>
      </c>
      <c r="E245" t="s">
        <v>412</v>
      </c>
      <c r="F245" t="s">
        <v>79</v>
      </c>
      <c r="G245" t="s">
        <v>1185</v>
      </c>
      <c r="H245">
        <v>1799</v>
      </c>
      <c r="I245">
        <v>1</v>
      </c>
      <c r="J245">
        <v>1799</v>
      </c>
      <c r="L245">
        <v>0</v>
      </c>
      <c r="M245" t="s">
        <v>30</v>
      </c>
      <c r="N245" t="s">
        <v>31</v>
      </c>
      <c r="O245" t="s">
        <v>86</v>
      </c>
      <c r="P245" t="s">
        <v>87</v>
      </c>
      <c r="Q245" t="s">
        <v>61</v>
      </c>
      <c r="R245" t="s">
        <v>737</v>
      </c>
      <c r="S245" t="s">
        <v>35</v>
      </c>
      <c r="T245" t="s">
        <v>36</v>
      </c>
      <c r="W245" t="s">
        <v>37</v>
      </c>
    </row>
    <row r="246" spans="1:23" x14ac:dyDescent="0.3">
      <c r="A246" t="s">
        <v>1186</v>
      </c>
      <c r="B246" t="s">
        <v>528</v>
      </c>
      <c r="C246" t="s">
        <v>1187</v>
      </c>
      <c r="D246" t="s">
        <v>26</v>
      </c>
      <c r="E246" t="s">
        <v>1188</v>
      </c>
      <c r="F246" t="s">
        <v>28</v>
      </c>
      <c r="G246" t="s">
        <v>1189</v>
      </c>
      <c r="H246">
        <v>2199</v>
      </c>
      <c r="I246">
        <v>1</v>
      </c>
      <c r="J246">
        <v>2199</v>
      </c>
      <c r="L246">
        <v>0</v>
      </c>
      <c r="M246" t="s">
        <v>70</v>
      </c>
      <c r="N246" t="s">
        <v>46</v>
      </c>
      <c r="O246" t="s">
        <v>72</v>
      </c>
      <c r="P246" t="s">
        <v>73</v>
      </c>
      <c r="Q246" t="s">
        <v>61</v>
      </c>
      <c r="R246" t="s">
        <v>737</v>
      </c>
      <c r="S246" t="s">
        <v>35</v>
      </c>
      <c r="T246" t="s">
        <v>36</v>
      </c>
      <c r="W246" t="s">
        <v>37</v>
      </c>
    </row>
    <row r="247" spans="1:23" x14ac:dyDescent="0.3">
      <c r="A247" t="s">
        <v>1190</v>
      </c>
      <c r="B247" t="s">
        <v>551</v>
      </c>
      <c r="C247" t="s">
        <v>1191</v>
      </c>
      <c r="D247" t="s">
        <v>26</v>
      </c>
      <c r="E247" t="s">
        <v>1192</v>
      </c>
      <c r="F247" t="s">
        <v>42</v>
      </c>
      <c r="G247" t="s">
        <v>1193</v>
      </c>
      <c r="H247">
        <v>3799</v>
      </c>
      <c r="I247">
        <v>1</v>
      </c>
      <c r="J247">
        <v>3799</v>
      </c>
      <c r="K247" t="s">
        <v>1101</v>
      </c>
      <c r="L247">
        <v>20</v>
      </c>
      <c r="M247" t="s">
        <v>60</v>
      </c>
      <c r="N247" t="s">
        <v>71</v>
      </c>
      <c r="O247" t="s">
        <v>95</v>
      </c>
      <c r="P247" t="s">
        <v>33</v>
      </c>
      <c r="Q247" t="s">
        <v>32</v>
      </c>
      <c r="R247" t="s">
        <v>760</v>
      </c>
      <c r="S247" t="s">
        <v>35</v>
      </c>
      <c r="T247" t="s">
        <v>49</v>
      </c>
      <c r="U247" t="s">
        <v>75</v>
      </c>
      <c r="V247" t="s">
        <v>1048</v>
      </c>
      <c r="W247" t="s">
        <v>52</v>
      </c>
    </row>
    <row r="248" spans="1:23" x14ac:dyDescent="0.3">
      <c r="A248" t="s">
        <v>1194</v>
      </c>
      <c r="B248" t="s">
        <v>551</v>
      </c>
      <c r="C248" t="s">
        <v>1195</v>
      </c>
      <c r="D248" t="s">
        <v>26</v>
      </c>
      <c r="E248" t="s">
        <v>1196</v>
      </c>
      <c r="F248" t="s">
        <v>58</v>
      </c>
      <c r="G248" t="s">
        <v>1197</v>
      </c>
      <c r="H248">
        <v>2899</v>
      </c>
      <c r="I248">
        <v>1</v>
      </c>
      <c r="J248">
        <v>2899</v>
      </c>
      <c r="L248">
        <v>0</v>
      </c>
      <c r="M248" t="s">
        <v>45</v>
      </c>
      <c r="N248" t="s">
        <v>31</v>
      </c>
      <c r="O248" t="s">
        <v>101</v>
      </c>
      <c r="P248" t="s">
        <v>102</v>
      </c>
      <c r="Q248" t="s">
        <v>47</v>
      </c>
      <c r="R248" t="s">
        <v>760</v>
      </c>
      <c r="S248" t="s">
        <v>35</v>
      </c>
      <c r="T248" t="s">
        <v>36</v>
      </c>
      <c r="W248" t="s">
        <v>37</v>
      </c>
    </row>
    <row r="249" spans="1:23" x14ac:dyDescent="0.3">
      <c r="A249" t="s">
        <v>1198</v>
      </c>
      <c r="B249" t="s">
        <v>551</v>
      </c>
      <c r="C249" t="s">
        <v>1199</v>
      </c>
      <c r="D249" t="s">
        <v>40</v>
      </c>
      <c r="E249" t="s">
        <v>562</v>
      </c>
      <c r="F249" t="s">
        <v>67</v>
      </c>
      <c r="G249" t="s">
        <v>1200</v>
      </c>
      <c r="H249">
        <v>4599</v>
      </c>
      <c r="I249">
        <v>1</v>
      </c>
      <c r="J249">
        <v>4599</v>
      </c>
      <c r="K249" t="s">
        <v>1101</v>
      </c>
      <c r="L249">
        <v>20</v>
      </c>
      <c r="M249" t="s">
        <v>30</v>
      </c>
      <c r="N249" t="s">
        <v>46</v>
      </c>
      <c r="O249" t="s">
        <v>116</v>
      </c>
      <c r="P249" t="s">
        <v>117</v>
      </c>
      <c r="Q249" t="s">
        <v>47</v>
      </c>
      <c r="R249" t="s">
        <v>792</v>
      </c>
      <c r="S249" t="s">
        <v>35</v>
      </c>
      <c r="T249" t="s">
        <v>49</v>
      </c>
      <c r="U249" t="s">
        <v>50</v>
      </c>
      <c r="V249" t="s">
        <v>1070</v>
      </c>
      <c r="W249" t="s">
        <v>52</v>
      </c>
    </row>
    <row r="250" spans="1:23" x14ac:dyDescent="0.3">
      <c r="A250" t="s">
        <v>1201</v>
      </c>
      <c r="B250" t="s">
        <v>551</v>
      </c>
      <c r="C250" t="s">
        <v>1202</v>
      </c>
      <c r="D250" t="s">
        <v>26</v>
      </c>
      <c r="E250" t="s">
        <v>1203</v>
      </c>
      <c r="F250" t="s">
        <v>79</v>
      </c>
      <c r="G250" t="s">
        <v>1204</v>
      </c>
      <c r="H250">
        <v>2499</v>
      </c>
      <c r="I250">
        <v>1</v>
      </c>
      <c r="J250">
        <v>2499</v>
      </c>
      <c r="L250">
        <v>0</v>
      </c>
      <c r="M250" t="s">
        <v>128</v>
      </c>
      <c r="N250" t="s">
        <v>71</v>
      </c>
      <c r="O250" t="s">
        <v>129</v>
      </c>
      <c r="P250" t="s">
        <v>130</v>
      </c>
      <c r="Q250" t="s">
        <v>47</v>
      </c>
      <c r="R250" t="s">
        <v>792</v>
      </c>
      <c r="S250" t="s">
        <v>35</v>
      </c>
      <c r="T250" t="s">
        <v>36</v>
      </c>
      <c r="W250" t="s">
        <v>37</v>
      </c>
    </row>
    <row r="251" spans="1:23" x14ac:dyDescent="0.3">
      <c r="A251" t="s">
        <v>1205</v>
      </c>
      <c r="B251" t="s">
        <v>572</v>
      </c>
      <c r="C251" t="s">
        <v>1206</v>
      </c>
      <c r="D251" t="s">
        <v>26</v>
      </c>
      <c r="E251" t="s">
        <v>1207</v>
      </c>
      <c r="F251" t="s">
        <v>28</v>
      </c>
      <c r="G251" t="s">
        <v>1208</v>
      </c>
      <c r="H251">
        <v>1899</v>
      </c>
      <c r="I251">
        <v>1</v>
      </c>
      <c r="J251">
        <v>1899</v>
      </c>
      <c r="L251">
        <v>0</v>
      </c>
      <c r="M251" t="s">
        <v>70</v>
      </c>
      <c r="N251" t="s">
        <v>31</v>
      </c>
      <c r="O251" t="s">
        <v>1171</v>
      </c>
      <c r="P251" t="s">
        <v>1171</v>
      </c>
      <c r="Q251" t="s">
        <v>32</v>
      </c>
      <c r="S251" t="s">
        <v>137</v>
      </c>
      <c r="T251" t="s">
        <v>36</v>
      </c>
      <c r="W251" t="s">
        <v>37</v>
      </c>
    </row>
    <row r="252" spans="1:23" x14ac:dyDescent="0.3">
      <c r="A252" t="s">
        <v>1209</v>
      </c>
      <c r="B252" t="s">
        <v>572</v>
      </c>
      <c r="C252" t="s">
        <v>1210</v>
      </c>
      <c r="D252" t="s">
        <v>26</v>
      </c>
      <c r="E252" t="s">
        <v>1211</v>
      </c>
      <c r="F252" t="s">
        <v>42</v>
      </c>
      <c r="G252" t="s">
        <v>1038</v>
      </c>
      <c r="H252">
        <v>3299</v>
      </c>
      <c r="I252">
        <v>1</v>
      </c>
      <c r="J252">
        <v>3299</v>
      </c>
      <c r="K252" t="s">
        <v>1101</v>
      </c>
      <c r="L252">
        <v>20</v>
      </c>
      <c r="M252" t="s">
        <v>45</v>
      </c>
      <c r="N252" t="s">
        <v>46</v>
      </c>
      <c r="O252" t="s">
        <v>32</v>
      </c>
      <c r="P252" t="s">
        <v>33</v>
      </c>
      <c r="Q252" t="s">
        <v>32</v>
      </c>
      <c r="R252" t="s">
        <v>783</v>
      </c>
      <c r="S252" t="s">
        <v>35</v>
      </c>
      <c r="T252" t="s">
        <v>36</v>
      </c>
      <c r="W252" t="s">
        <v>37</v>
      </c>
    </row>
    <row r="253" spans="1:23" x14ac:dyDescent="0.3">
      <c r="A253" t="s">
        <v>1212</v>
      </c>
      <c r="B253" t="s">
        <v>572</v>
      </c>
      <c r="C253" t="s">
        <v>1213</v>
      </c>
      <c r="D253" t="s">
        <v>26</v>
      </c>
      <c r="E253" t="s">
        <v>1214</v>
      </c>
      <c r="F253" t="s">
        <v>58</v>
      </c>
      <c r="G253" t="s">
        <v>1042</v>
      </c>
      <c r="H253">
        <v>2199</v>
      </c>
      <c r="I253">
        <v>1</v>
      </c>
      <c r="J253">
        <v>2199</v>
      </c>
      <c r="L253">
        <v>0</v>
      </c>
      <c r="M253" t="s">
        <v>60</v>
      </c>
      <c r="N253" t="s">
        <v>71</v>
      </c>
      <c r="O253" t="s">
        <v>47</v>
      </c>
      <c r="P253" t="s">
        <v>47</v>
      </c>
      <c r="Q253" t="s">
        <v>47</v>
      </c>
      <c r="R253" t="s">
        <v>1215</v>
      </c>
      <c r="S253" t="s">
        <v>35</v>
      </c>
      <c r="T253" t="s">
        <v>49</v>
      </c>
      <c r="U253" t="s">
        <v>158</v>
      </c>
      <c r="V253" t="s">
        <v>1083</v>
      </c>
      <c r="W253" t="s">
        <v>121</v>
      </c>
    </row>
    <row r="254" spans="1:23" x14ac:dyDescent="0.3">
      <c r="A254" t="s">
        <v>1216</v>
      </c>
      <c r="B254" t="s">
        <v>572</v>
      </c>
      <c r="C254" t="s">
        <v>1217</v>
      </c>
      <c r="D254" t="s">
        <v>40</v>
      </c>
      <c r="E254" t="s">
        <v>1218</v>
      </c>
      <c r="F254" t="s">
        <v>67</v>
      </c>
      <c r="G254" t="s">
        <v>1219</v>
      </c>
      <c r="H254">
        <v>5499</v>
      </c>
      <c r="I254">
        <v>1</v>
      </c>
      <c r="J254">
        <v>5499</v>
      </c>
      <c r="K254" t="s">
        <v>1101</v>
      </c>
      <c r="L254">
        <v>20</v>
      </c>
      <c r="M254" t="s">
        <v>30</v>
      </c>
      <c r="N254" t="s">
        <v>31</v>
      </c>
      <c r="O254" t="s">
        <v>61</v>
      </c>
      <c r="P254" t="s">
        <v>62</v>
      </c>
      <c r="Q254" t="s">
        <v>61</v>
      </c>
      <c r="R254" t="s">
        <v>1215</v>
      </c>
      <c r="S254" t="s">
        <v>35</v>
      </c>
      <c r="T254" t="s">
        <v>36</v>
      </c>
      <c r="W254" t="s">
        <v>37</v>
      </c>
    </row>
    <row r="255" spans="1:23" x14ac:dyDescent="0.3">
      <c r="A255" t="s">
        <v>1220</v>
      </c>
      <c r="B255" t="s">
        <v>671</v>
      </c>
      <c r="C255" t="s">
        <v>1221</v>
      </c>
      <c r="D255" t="s">
        <v>26</v>
      </c>
      <c r="E255" t="s">
        <v>1222</v>
      </c>
      <c r="F255" t="s">
        <v>79</v>
      </c>
      <c r="G255" t="s">
        <v>1223</v>
      </c>
      <c r="H255">
        <v>999</v>
      </c>
      <c r="I255">
        <v>1</v>
      </c>
      <c r="J255">
        <v>999</v>
      </c>
      <c r="L255">
        <v>0</v>
      </c>
      <c r="M255" t="s">
        <v>128</v>
      </c>
      <c r="N255" t="s">
        <v>46</v>
      </c>
      <c r="O255" t="s">
        <v>108</v>
      </c>
      <c r="P255" t="s">
        <v>109</v>
      </c>
      <c r="Q255" t="s">
        <v>32</v>
      </c>
      <c r="R255" t="s">
        <v>818</v>
      </c>
      <c r="S255" t="s">
        <v>35</v>
      </c>
      <c r="T255" t="s">
        <v>36</v>
      </c>
      <c r="W255" t="s">
        <v>37</v>
      </c>
    </row>
    <row r="256" spans="1:23" x14ac:dyDescent="0.3">
      <c r="A256" t="s">
        <v>1224</v>
      </c>
      <c r="B256" t="s">
        <v>671</v>
      </c>
      <c r="C256" t="s">
        <v>1225</v>
      </c>
      <c r="D256" t="s">
        <v>26</v>
      </c>
      <c r="E256" t="s">
        <v>293</v>
      </c>
      <c r="F256" t="s">
        <v>28</v>
      </c>
      <c r="G256" t="s">
        <v>294</v>
      </c>
      <c r="H256">
        <v>1699</v>
      </c>
      <c r="I256">
        <v>2</v>
      </c>
      <c r="J256">
        <v>3398</v>
      </c>
      <c r="L256">
        <v>0</v>
      </c>
      <c r="M256" t="s">
        <v>70</v>
      </c>
      <c r="N256" t="s">
        <v>71</v>
      </c>
      <c r="O256" t="s">
        <v>177</v>
      </c>
      <c r="P256" t="s">
        <v>109</v>
      </c>
      <c r="Q256" t="s">
        <v>32</v>
      </c>
      <c r="R256" t="s">
        <v>818</v>
      </c>
      <c r="S256" t="s">
        <v>35</v>
      </c>
      <c r="T256" t="s">
        <v>49</v>
      </c>
      <c r="U256" t="s">
        <v>50</v>
      </c>
      <c r="V256" t="s">
        <v>1092</v>
      </c>
      <c r="W256" t="s">
        <v>52</v>
      </c>
    </row>
    <row r="257" spans="1:23" x14ac:dyDescent="0.3">
      <c r="A257" t="s">
        <v>1226</v>
      </c>
      <c r="B257" t="s">
        <v>671</v>
      </c>
      <c r="C257" t="s">
        <v>1227</v>
      </c>
      <c r="D257" t="s">
        <v>26</v>
      </c>
      <c r="E257" t="s">
        <v>1228</v>
      </c>
      <c r="F257" t="s">
        <v>42</v>
      </c>
      <c r="G257" t="s">
        <v>1229</v>
      </c>
      <c r="H257">
        <v>2799</v>
      </c>
      <c r="I257">
        <v>1</v>
      </c>
      <c r="J257">
        <v>2799</v>
      </c>
      <c r="K257" t="s">
        <v>1101</v>
      </c>
      <c r="L257">
        <v>20</v>
      </c>
      <c r="M257" t="s">
        <v>45</v>
      </c>
      <c r="N257" t="s">
        <v>31</v>
      </c>
      <c r="O257" t="s">
        <v>233</v>
      </c>
      <c r="P257" t="s">
        <v>109</v>
      </c>
      <c r="Q257" t="s">
        <v>32</v>
      </c>
      <c r="R257" t="s">
        <v>835</v>
      </c>
      <c r="S257" t="s">
        <v>35</v>
      </c>
      <c r="T257" t="s">
        <v>49</v>
      </c>
      <c r="U257" t="s">
        <v>119</v>
      </c>
      <c r="V257" t="s">
        <v>1230</v>
      </c>
      <c r="W257" t="s">
        <v>52</v>
      </c>
    </row>
    <row r="258" spans="1:23" x14ac:dyDescent="0.3">
      <c r="A258" t="s">
        <v>1231</v>
      </c>
      <c r="B258" t="s">
        <v>671</v>
      </c>
      <c r="C258" t="s">
        <v>1232</v>
      </c>
      <c r="D258" t="s">
        <v>26</v>
      </c>
      <c r="E258" t="s">
        <v>1233</v>
      </c>
      <c r="F258" t="s">
        <v>58</v>
      </c>
      <c r="G258" t="s">
        <v>350</v>
      </c>
      <c r="H258">
        <v>2299</v>
      </c>
      <c r="I258">
        <v>1</v>
      </c>
      <c r="J258">
        <v>2299</v>
      </c>
      <c r="L258">
        <v>0</v>
      </c>
      <c r="M258" t="s">
        <v>30</v>
      </c>
      <c r="N258" t="s">
        <v>46</v>
      </c>
      <c r="O258" t="s">
        <v>238</v>
      </c>
      <c r="P258" t="s">
        <v>109</v>
      </c>
      <c r="Q258" t="s">
        <v>32</v>
      </c>
      <c r="R258" t="s">
        <v>835</v>
      </c>
      <c r="S258" t="s">
        <v>35</v>
      </c>
      <c r="T258" t="s">
        <v>36</v>
      </c>
      <c r="W258" t="s">
        <v>37</v>
      </c>
    </row>
    <row r="259" spans="1:23" x14ac:dyDescent="0.3">
      <c r="A259" t="s">
        <v>1234</v>
      </c>
      <c r="B259" t="s">
        <v>994</v>
      </c>
      <c r="C259" t="s">
        <v>1235</v>
      </c>
      <c r="D259" t="s">
        <v>40</v>
      </c>
      <c r="E259" t="s">
        <v>1236</v>
      </c>
      <c r="F259" t="s">
        <v>67</v>
      </c>
      <c r="G259" t="s">
        <v>1237</v>
      </c>
      <c r="H259">
        <v>5999</v>
      </c>
      <c r="I259">
        <v>1</v>
      </c>
      <c r="J259">
        <v>5999</v>
      </c>
      <c r="L259">
        <v>0</v>
      </c>
      <c r="M259" t="s">
        <v>60</v>
      </c>
      <c r="N259" t="s">
        <v>71</v>
      </c>
      <c r="O259" t="s">
        <v>243</v>
      </c>
      <c r="P259" t="s">
        <v>130</v>
      </c>
      <c r="Q259" t="s">
        <v>47</v>
      </c>
      <c r="R259" t="s">
        <v>827</v>
      </c>
      <c r="S259" t="s">
        <v>35</v>
      </c>
      <c r="T259" t="s">
        <v>49</v>
      </c>
      <c r="U259" t="s">
        <v>89</v>
      </c>
      <c r="V259" t="s">
        <v>1238</v>
      </c>
      <c r="W259" t="s">
        <v>52</v>
      </c>
    </row>
    <row r="260" spans="1:23" x14ac:dyDescent="0.3">
      <c r="A260" t="s">
        <v>1239</v>
      </c>
      <c r="B260" t="s">
        <v>994</v>
      </c>
      <c r="C260" t="s">
        <v>1240</v>
      </c>
      <c r="D260" t="s">
        <v>26</v>
      </c>
      <c r="E260" t="s">
        <v>1241</v>
      </c>
      <c r="F260" t="s">
        <v>79</v>
      </c>
      <c r="G260" t="s">
        <v>1242</v>
      </c>
      <c r="H260">
        <v>899</v>
      </c>
      <c r="I260">
        <v>2</v>
      </c>
      <c r="J260">
        <v>1798</v>
      </c>
      <c r="K260" t="s">
        <v>1101</v>
      </c>
      <c r="L260">
        <v>20</v>
      </c>
      <c r="M260" t="s">
        <v>128</v>
      </c>
      <c r="N260" t="s">
        <v>31</v>
      </c>
      <c r="O260" t="s">
        <v>32</v>
      </c>
      <c r="P260" t="s">
        <v>33</v>
      </c>
      <c r="Q260" t="s">
        <v>32</v>
      </c>
      <c r="R260" t="s">
        <v>835</v>
      </c>
      <c r="S260" t="s">
        <v>35</v>
      </c>
      <c r="T260" t="s">
        <v>36</v>
      </c>
      <c r="W260" t="s">
        <v>37</v>
      </c>
    </row>
    <row r="261" spans="1:23" x14ac:dyDescent="0.3">
      <c r="A261" t="s">
        <v>1243</v>
      </c>
      <c r="B261" t="s">
        <v>994</v>
      </c>
      <c r="C261" t="s">
        <v>1244</v>
      </c>
      <c r="D261" t="s">
        <v>26</v>
      </c>
      <c r="E261" t="s">
        <v>1245</v>
      </c>
      <c r="F261" t="s">
        <v>28</v>
      </c>
      <c r="G261" t="s">
        <v>1246</v>
      </c>
      <c r="H261">
        <v>2099</v>
      </c>
      <c r="I261">
        <v>1</v>
      </c>
      <c r="J261">
        <v>2099</v>
      </c>
      <c r="L261">
        <v>0</v>
      </c>
      <c r="M261" t="s">
        <v>70</v>
      </c>
      <c r="N261" t="s">
        <v>46</v>
      </c>
      <c r="O261" t="s">
        <v>47</v>
      </c>
      <c r="P261" t="s">
        <v>47</v>
      </c>
      <c r="Q261" t="s">
        <v>47</v>
      </c>
      <c r="R261" t="s">
        <v>827</v>
      </c>
      <c r="S261" t="s">
        <v>35</v>
      </c>
      <c r="T261" t="s">
        <v>49</v>
      </c>
      <c r="U261" t="s">
        <v>75</v>
      </c>
      <c r="V261" t="s">
        <v>1247</v>
      </c>
      <c r="W261" t="s">
        <v>52</v>
      </c>
    </row>
    <row r="262" spans="1:23" x14ac:dyDescent="0.3">
      <c r="A262" t="s">
        <v>1248</v>
      </c>
      <c r="B262" t="s">
        <v>692</v>
      </c>
      <c r="C262" t="s">
        <v>1249</v>
      </c>
      <c r="D262" t="s">
        <v>26</v>
      </c>
      <c r="E262" t="s">
        <v>1250</v>
      </c>
      <c r="F262" t="s">
        <v>42</v>
      </c>
      <c r="G262" t="s">
        <v>1251</v>
      </c>
      <c r="H262">
        <v>3999</v>
      </c>
      <c r="I262">
        <v>1</v>
      </c>
      <c r="J262">
        <v>3999</v>
      </c>
      <c r="L262">
        <v>0</v>
      </c>
      <c r="M262" t="s">
        <v>45</v>
      </c>
      <c r="N262" t="s">
        <v>71</v>
      </c>
      <c r="O262" t="s">
        <v>135</v>
      </c>
      <c r="P262" t="s">
        <v>136</v>
      </c>
      <c r="Q262" t="s">
        <v>47</v>
      </c>
      <c r="R262" t="s">
        <v>840</v>
      </c>
      <c r="S262" t="s">
        <v>35</v>
      </c>
      <c r="T262" t="s">
        <v>49</v>
      </c>
      <c r="U262" t="s">
        <v>50</v>
      </c>
      <c r="V262" t="s">
        <v>1252</v>
      </c>
      <c r="W262" t="s">
        <v>52</v>
      </c>
    </row>
    <row r="263" spans="1:23" x14ac:dyDescent="0.3">
      <c r="A263" t="s">
        <v>1253</v>
      </c>
      <c r="B263" t="s">
        <v>692</v>
      </c>
      <c r="C263" t="s">
        <v>1254</v>
      </c>
      <c r="D263" t="s">
        <v>26</v>
      </c>
      <c r="E263" t="s">
        <v>1255</v>
      </c>
      <c r="F263" t="s">
        <v>58</v>
      </c>
      <c r="G263" t="s">
        <v>1256</v>
      </c>
      <c r="H263">
        <v>2499</v>
      </c>
      <c r="I263">
        <v>1</v>
      </c>
      <c r="J263">
        <v>2499</v>
      </c>
      <c r="K263" t="s">
        <v>1101</v>
      </c>
      <c r="L263">
        <v>20</v>
      </c>
      <c r="M263" t="s">
        <v>30</v>
      </c>
      <c r="N263" t="s">
        <v>31</v>
      </c>
      <c r="O263" t="s">
        <v>156</v>
      </c>
      <c r="P263" t="s">
        <v>130</v>
      </c>
      <c r="Q263" t="s">
        <v>47</v>
      </c>
      <c r="R263" t="s">
        <v>840</v>
      </c>
      <c r="S263" t="s">
        <v>35</v>
      </c>
      <c r="T263" t="s">
        <v>36</v>
      </c>
      <c r="W263" t="s">
        <v>37</v>
      </c>
    </row>
    <row r="264" spans="1:23" x14ac:dyDescent="0.3">
      <c r="A264" t="s">
        <v>1257</v>
      </c>
      <c r="B264" t="s">
        <v>692</v>
      </c>
      <c r="C264" t="s">
        <v>1258</v>
      </c>
      <c r="D264" t="s">
        <v>40</v>
      </c>
      <c r="E264" t="s">
        <v>1259</v>
      </c>
      <c r="F264" t="s">
        <v>67</v>
      </c>
      <c r="G264" t="s">
        <v>1260</v>
      </c>
      <c r="H264">
        <v>4899</v>
      </c>
      <c r="I264">
        <v>1</v>
      </c>
      <c r="J264">
        <v>4899</v>
      </c>
      <c r="L264">
        <v>0</v>
      </c>
      <c r="M264" t="s">
        <v>60</v>
      </c>
      <c r="N264" t="s">
        <v>46</v>
      </c>
      <c r="O264" t="s">
        <v>164</v>
      </c>
      <c r="P264" t="s">
        <v>165</v>
      </c>
      <c r="Q264" t="s">
        <v>47</v>
      </c>
      <c r="R264" t="s">
        <v>850</v>
      </c>
      <c r="S264" t="s">
        <v>35</v>
      </c>
      <c r="T264" t="s">
        <v>49</v>
      </c>
      <c r="U264" t="s">
        <v>119</v>
      </c>
      <c r="V264" t="s">
        <v>1261</v>
      </c>
      <c r="W264" t="s">
        <v>52</v>
      </c>
    </row>
    <row r="265" spans="1:23" x14ac:dyDescent="0.3">
      <c r="A265" t="s">
        <v>1262</v>
      </c>
      <c r="B265" t="s">
        <v>692</v>
      </c>
      <c r="C265" t="s">
        <v>1263</v>
      </c>
      <c r="D265" t="s">
        <v>26</v>
      </c>
      <c r="E265" t="s">
        <v>1264</v>
      </c>
      <c r="F265" t="s">
        <v>79</v>
      </c>
      <c r="G265" t="s">
        <v>1265</v>
      </c>
      <c r="H265">
        <v>1199</v>
      </c>
      <c r="I265">
        <v>1</v>
      </c>
      <c r="J265">
        <v>1199</v>
      </c>
      <c r="L265">
        <v>0</v>
      </c>
      <c r="M265" t="s">
        <v>128</v>
      </c>
      <c r="N265" t="s">
        <v>71</v>
      </c>
      <c r="O265" t="s">
        <v>171</v>
      </c>
      <c r="P265" t="s">
        <v>172</v>
      </c>
      <c r="Q265" t="s">
        <v>32</v>
      </c>
      <c r="R265" t="s">
        <v>840</v>
      </c>
      <c r="S265" t="s">
        <v>35</v>
      </c>
      <c r="T265" t="s">
        <v>36</v>
      </c>
      <c r="W265" t="s">
        <v>37</v>
      </c>
    </row>
    <row r="266" spans="1:23" x14ac:dyDescent="0.3">
      <c r="A266" t="s">
        <v>1266</v>
      </c>
      <c r="B266" t="s">
        <v>692</v>
      </c>
      <c r="C266" t="s">
        <v>1267</v>
      </c>
      <c r="D266" t="s">
        <v>26</v>
      </c>
      <c r="E266" t="s">
        <v>1268</v>
      </c>
      <c r="F266" t="s">
        <v>28</v>
      </c>
      <c r="G266" t="s">
        <v>1269</v>
      </c>
      <c r="H266">
        <v>1899</v>
      </c>
      <c r="I266">
        <v>1</v>
      </c>
      <c r="J266">
        <v>1899</v>
      </c>
      <c r="K266" t="s">
        <v>1101</v>
      </c>
      <c r="L266">
        <v>20</v>
      </c>
      <c r="M266" t="s">
        <v>70</v>
      </c>
      <c r="N266" t="s">
        <v>31</v>
      </c>
      <c r="O266" t="s">
        <v>177</v>
      </c>
      <c r="P266" t="s">
        <v>109</v>
      </c>
      <c r="Q266" t="s">
        <v>32</v>
      </c>
      <c r="R266" t="s">
        <v>850</v>
      </c>
      <c r="S266" t="s">
        <v>35</v>
      </c>
      <c r="T266" t="s">
        <v>49</v>
      </c>
      <c r="U266" t="s">
        <v>158</v>
      </c>
      <c r="V266" t="s">
        <v>1270</v>
      </c>
      <c r="W266" t="s">
        <v>52</v>
      </c>
    </row>
    <row r="267" spans="1:23" x14ac:dyDescent="0.3">
      <c r="A267" t="s">
        <v>1271</v>
      </c>
      <c r="B267" t="s">
        <v>1017</v>
      </c>
      <c r="C267" t="s">
        <v>1272</v>
      </c>
      <c r="D267" t="s">
        <v>26</v>
      </c>
      <c r="E267" t="s">
        <v>1273</v>
      </c>
      <c r="F267" t="s">
        <v>42</v>
      </c>
      <c r="G267" t="s">
        <v>1274</v>
      </c>
      <c r="H267">
        <v>3599</v>
      </c>
      <c r="I267">
        <v>1</v>
      </c>
      <c r="J267">
        <v>3599</v>
      </c>
      <c r="L267">
        <v>0</v>
      </c>
      <c r="M267" t="s">
        <v>45</v>
      </c>
      <c r="N267" t="s">
        <v>46</v>
      </c>
      <c r="O267" t="s">
        <v>184</v>
      </c>
      <c r="P267" t="s">
        <v>185</v>
      </c>
      <c r="Q267" t="s">
        <v>47</v>
      </c>
      <c r="R267" t="s">
        <v>898</v>
      </c>
      <c r="S267" t="s">
        <v>35</v>
      </c>
      <c r="T267" t="s">
        <v>36</v>
      </c>
      <c r="W267" t="s">
        <v>37</v>
      </c>
    </row>
    <row r="268" spans="1:23" x14ac:dyDescent="0.3">
      <c r="A268" t="s">
        <v>1275</v>
      </c>
      <c r="B268" t="s">
        <v>1017</v>
      </c>
      <c r="C268" t="s">
        <v>1276</v>
      </c>
      <c r="D268" t="s">
        <v>26</v>
      </c>
      <c r="E268" t="s">
        <v>1277</v>
      </c>
      <c r="F268" t="s">
        <v>58</v>
      </c>
      <c r="G268" t="s">
        <v>1278</v>
      </c>
      <c r="H268">
        <v>2699</v>
      </c>
      <c r="I268">
        <v>1</v>
      </c>
      <c r="J268">
        <v>2699</v>
      </c>
      <c r="L268">
        <v>0</v>
      </c>
      <c r="M268" t="s">
        <v>30</v>
      </c>
      <c r="N268" t="s">
        <v>71</v>
      </c>
      <c r="O268" t="s">
        <v>190</v>
      </c>
      <c r="P268" t="s">
        <v>172</v>
      </c>
      <c r="Q268" t="s">
        <v>32</v>
      </c>
      <c r="R268" t="s">
        <v>898</v>
      </c>
      <c r="S268" t="s">
        <v>35</v>
      </c>
      <c r="T268" t="s">
        <v>49</v>
      </c>
      <c r="U268" t="s">
        <v>50</v>
      </c>
      <c r="V268" t="s">
        <v>1279</v>
      </c>
      <c r="W268" t="s">
        <v>52</v>
      </c>
    </row>
    <row r="269" spans="1:23" x14ac:dyDescent="0.3">
      <c r="A269" t="s">
        <v>1280</v>
      </c>
      <c r="B269" t="s">
        <v>1017</v>
      </c>
      <c r="C269" t="s">
        <v>1281</v>
      </c>
      <c r="D269" t="s">
        <v>40</v>
      </c>
      <c r="E269" t="s">
        <v>1282</v>
      </c>
      <c r="F269" t="s">
        <v>67</v>
      </c>
      <c r="G269" t="s">
        <v>1283</v>
      </c>
      <c r="H269">
        <v>5599</v>
      </c>
      <c r="I269">
        <v>1</v>
      </c>
      <c r="J269">
        <v>5599</v>
      </c>
      <c r="K269" t="s">
        <v>1101</v>
      </c>
      <c r="L269">
        <v>20</v>
      </c>
      <c r="M269" t="s">
        <v>60</v>
      </c>
      <c r="N269" t="s">
        <v>31</v>
      </c>
      <c r="O269" t="s">
        <v>195</v>
      </c>
      <c r="P269" t="s">
        <v>33</v>
      </c>
      <c r="Q269" t="s">
        <v>32</v>
      </c>
      <c r="R269" t="s">
        <v>884</v>
      </c>
      <c r="S269" t="s">
        <v>35</v>
      </c>
      <c r="T269" t="s">
        <v>49</v>
      </c>
      <c r="U269" t="s">
        <v>89</v>
      </c>
      <c r="V269" t="s">
        <v>1284</v>
      </c>
      <c r="W269" t="s">
        <v>52</v>
      </c>
    </row>
    <row r="270" spans="1:23" x14ac:dyDescent="0.3">
      <c r="A270" t="s">
        <v>1285</v>
      </c>
      <c r="B270" t="s">
        <v>1017</v>
      </c>
      <c r="C270" t="s">
        <v>1286</v>
      </c>
      <c r="D270" t="s">
        <v>26</v>
      </c>
      <c r="E270" t="s">
        <v>1287</v>
      </c>
      <c r="F270" t="s">
        <v>79</v>
      </c>
      <c r="G270" t="s">
        <v>1288</v>
      </c>
      <c r="H270">
        <v>399</v>
      </c>
      <c r="I270">
        <v>3</v>
      </c>
      <c r="J270">
        <v>1197</v>
      </c>
      <c r="L270">
        <v>0</v>
      </c>
      <c r="M270" t="s">
        <v>128</v>
      </c>
      <c r="N270" t="s">
        <v>46</v>
      </c>
      <c r="O270" t="s">
        <v>202</v>
      </c>
      <c r="P270" t="s">
        <v>73</v>
      </c>
      <c r="Q270" t="s">
        <v>61</v>
      </c>
      <c r="R270" t="s">
        <v>898</v>
      </c>
      <c r="S270" t="s">
        <v>35</v>
      </c>
      <c r="T270" t="s">
        <v>36</v>
      </c>
      <c r="W270" t="s">
        <v>37</v>
      </c>
    </row>
    <row r="271" spans="1:23" x14ac:dyDescent="0.3">
      <c r="A271" t="s">
        <v>1289</v>
      </c>
      <c r="B271" t="s">
        <v>705</v>
      </c>
      <c r="C271" t="s">
        <v>1290</v>
      </c>
      <c r="D271" t="s">
        <v>26</v>
      </c>
      <c r="E271" t="s">
        <v>1291</v>
      </c>
      <c r="F271" t="s">
        <v>28</v>
      </c>
      <c r="G271" t="s">
        <v>1292</v>
      </c>
      <c r="H271">
        <v>2199</v>
      </c>
      <c r="I271">
        <v>1</v>
      </c>
      <c r="J271">
        <v>2199</v>
      </c>
      <c r="L271">
        <v>0</v>
      </c>
      <c r="M271" t="s">
        <v>70</v>
      </c>
      <c r="N271" t="s">
        <v>71</v>
      </c>
      <c r="O271" t="s">
        <v>208</v>
      </c>
      <c r="P271" t="s">
        <v>209</v>
      </c>
      <c r="Q271" t="s">
        <v>61</v>
      </c>
      <c r="R271" t="s">
        <v>884</v>
      </c>
      <c r="S271" t="s">
        <v>35</v>
      </c>
      <c r="T271" t="s">
        <v>49</v>
      </c>
      <c r="U271" t="s">
        <v>75</v>
      </c>
      <c r="V271" t="s">
        <v>1261</v>
      </c>
      <c r="W271" t="s">
        <v>52</v>
      </c>
    </row>
    <row r="272" spans="1:23" x14ac:dyDescent="0.3">
      <c r="A272" t="s">
        <v>1293</v>
      </c>
      <c r="B272" t="s">
        <v>705</v>
      </c>
      <c r="C272" t="s">
        <v>1294</v>
      </c>
      <c r="D272" t="s">
        <v>26</v>
      </c>
      <c r="E272" t="s">
        <v>1295</v>
      </c>
      <c r="F272" t="s">
        <v>42</v>
      </c>
      <c r="G272" t="s">
        <v>1296</v>
      </c>
      <c r="H272">
        <v>4299</v>
      </c>
      <c r="I272">
        <v>1</v>
      </c>
      <c r="J272">
        <v>4299</v>
      </c>
      <c r="K272" t="s">
        <v>1101</v>
      </c>
      <c r="L272">
        <v>20</v>
      </c>
      <c r="M272" t="s">
        <v>45</v>
      </c>
      <c r="N272" t="s">
        <v>31</v>
      </c>
      <c r="O272" t="s">
        <v>215</v>
      </c>
      <c r="P272" t="s">
        <v>216</v>
      </c>
      <c r="Q272" t="s">
        <v>61</v>
      </c>
      <c r="R272" t="s">
        <v>893</v>
      </c>
      <c r="S272" t="s">
        <v>35</v>
      </c>
      <c r="T272" t="s">
        <v>36</v>
      </c>
      <c r="W272" t="s">
        <v>37</v>
      </c>
    </row>
    <row r="273" spans="1:23" x14ac:dyDescent="0.3">
      <c r="A273" t="s">
        <v>1297</v>
      </c>
      <c r="B273" t="s">
        <v>705</v>
      </c>
      <c r="C273" t="s">
        <v>1298</v>
      </c>
      <c r="D273" t="s">
        <v>26</v>
      </c>
      <c r="E273" t="s">
        <v>1299</v>
      </c>
      <c r="F273" t="s">
        <v>58</v>
      </c>
      <c r="G273" t="s">
        <v>1300</v>
      </c>
      <c r="H273">
        <v>2399</v>
      </c>
      <c r="I273">
        <v>1</v>
      </c>
      <c r="J273">
        <v>2399</v>
      </c>
      <c r="L273">
        <v>0</v>
      </c>
      <c r="M273" t="s">
        <v>30</v>
      </c>
      <c r="N273" t="s">
        <v>46</v>
      </c>
      <c r="O273" t="s">
        <v>221</v>
      </c>
      <c r="P273" t="s">
        <v>209</v>
      </c>
      <c r="Q273" t="s">
        <v>61</v>
      </c>
      <c r="R273" t="s">
        <v>893</v>
      </c>
      <c r="S273" t="s">
        <v>35</v>
      </c>
      <c r="T273" t="s">
        <v>49</v>
      </c>
      <c r="U273" t="s">
        <v>119</v>
      </c>
      <c r="V273" t="s">
        <v>1301</v>
      </c>
      <c r="W273" t="s">
        <v>52</v>
      </c>
    </row>
    <row r="274" spans="1:23" x14ac:dyDescent="0.3">
      <c r="A274" t="s">
        <v>1302</v>
      </c>
      <c r="B274" t="s">
        <v>705</v>
      </c>
      <c r="C274" t="s">
        <v>1303</v>
      </c>
      <c r="D274" t="s">
        <v>40</v>
      </c>
      <c r="E274" t="s">
        <v>1304</v>
      </c>
      <c r="F274" t="s">
        <v>67</v>
      </c>
      <c r="G274" t="s">
        <v>1305</v>
      </c>
      <c r="H274">
        <v>6299</v>
      </c>
      <c r="I274">
        <v>1</v>
      </c>
      <c r="J274">
        <v>6299</v>
      </c>
      <c r="L274">
        <v>0</v>
      </c>
      <c r="M274" t="s">
        <v>60</v>
      </c>
      <c r="N274" t="s">
        <v>71</v>
      </c>
      <c r="O274" t="s">
        <v>226</v>
      </c>
      <c r="P274" t="s">
        <v>62</v>
      </c>
      <c r="Q274" t="s">
        <v>61</v>
      </c>
      <c r="S274" t="s">
        <v>137</v>
      </c>
      <c r="T274" t="s">
        <v>36</v>
      </c>
      <c r="W274" t="s">
        <v>37</v>
      </c>
    </row>
    <row r="275" spans="1:23" x14ac:dyDescent="0.3">
      <c r="A275" t="s">
        <v>1306</v>
      </c>
      <c r="B275" t="s">
        <v>723</v>
      </c>
      <c r="C275" t="s">
        <v>1307</v>
      </c>
      <c r="D275" t="s">
        <v>26</v>
      </c>
      <c r="E275" t="s">
        <v>1308</v>
      </c>
      <c r="F275" t="s">
        <v>79</v>
      </c>
      <c r="G275" t="s">
        <v>1309</v>
      </c>
      <c r="H275">
        <v>599</v>
      </c>
      <c r="I275">
        <v>2</v>
      </c>
      <c r="J275">
        <v>1198</v>
      </c>
      <c r="K275" t="s">
        <v>1101</v>
      </c>
      <c r="L275">
        <v>20</v>
      </c>
      <c r="M275" t="s">
        <v>128</v>
      </c>
      <c r="N275" t="s">
        <v>31</v>
      </c>
      <c r="O275" t="s">
        <v>233</v>
      </c>
      <c r="P275" t="s">
        <v>109</v>
      </c>
      <c r="Q275" t="s">
        <v>32</v>
      </c>
      <c r="R275" t="s">
        <v>893</v>
      </c>
      <c r="S275" t="s">
        <v>35</v>
      </c>
      <c r="T275" t="s">
        <v>36</v>
      </c>
      <c r="W275" t="s">
        <v>37</v>
      </c>
    </row>
    <row r="276" spans="1:23" x14ac:dyDescent="0.3">
      <c r="A276" t="s">
        <v>1310</v>
      </c>
      <c r="B276" t="s">
        <v>723</v>
      </c>
      <c r="C276" t="s">
        <v>1311</v>
      </c>
      <c r="D276" t="s">
        <v>26</v>
      </c>
      <c r="E276" t="s">
        <v>1312</v>
      </c>
      <c r="F276" t="s">
        <v>28</v>
      </c>
      <c r="G276" t="s">
        <v>1313</v>
      </c>
      <c r="H276">
        <v>2399</v>
      </c>
      <c r="I276">
        <v>1</v>
      </c>
      <c r="J276">
        <v>2399</v>
      </c>
      <c r="L276">
        <v>0</v>
      </c>
      <c r="M276" t="s">
        <v>70</v>
      </c>
      <c r="N276" t="s">
        <v>46</v>
      </c>
      <c r="O276" t="s">
        <v>238</v>
      </c>
      <c r="P276" t="s">
        <v>109</v>
      </c>
      <c r="Q276" t="s">
        <v>32</v>
      </c>
      <c r="R276" t="s">
        <v>907</v>
      </c>
      <c r="S276" t="s">
        <v>35</v>
      </c>
      <c r="T276" t="s">
        <v>49</v>
      </c>
      <c r="U276" t="s">
        <v>50</v>
      </c>
      <c r="V276" t="s">
        <v>1314</v>
      </c>
      <c r="W276" t="s">
        <v>52</v>
      </c>
    </row>
    <row r="277" spans="1:23" x14ac:dyDescent="0.3">
      <c r="A277" t="s">
        <v>1315</v>
      </c>
      <c r="B277" t="s">
        <v>723</v>
      </c>
      <c r="C277" t="s">
        <v>1316</v>
      </c>
      <c r="D277" t="s">
        <v>26</v>
      </c>
      <c r="E277" t="s">
        <v>1317</v>
      </c>
      <c r="F277" t="s">
        <v>42</v>
      </c>
      <c r="G277" t="s">
        <v>1318</v>
      </c>
      <c r="H277">
        <v>5999</v>
      </c>
      <c r="I277">
        <v>1</v>
      </c>
      <c r="J277">
        <v>5999</v>
      </c>
      <c r="L277">
        <v>0</v>
      </c>
      <c r="M277" t="s">
        <v>45</v>
      </c>
      <c r="N277" t="s">
        <v>71</v>
      </c>
      <c r="O277" t="s">
        <v>243</v>
      </c>
      <c r="P277" t="s">
        <v>130</v>
      </c>
      <c r="Q277" t="s">
        <v>47</v>
      </c>
      <c r="R277" t="s">
        <v>916</v>
      </c>
      <c r="S277" t="s">
        <v>35</v>
      </c>
      <c r="T277" t="s">
        <v>49</v>
      </c>
      <c r="U277" t="s">
        <v>158</v>
      </c>
      <c r="V277" t="s">
        <v>1319</v>
      </c>
      <c r="W277" t="s">
        <v>52</v>
      </c>
    </row>
    <row r="278" spans="1:23" x14ac:dyDescent="0.3">
      <c r="A278" t="s">
        <v>1320</v>
      </c>
      <c r="B278" t="s">
        <v>723</v>
      </c>
      <c r="C278" t="s">
        <v>1321</v>
      </c>
      <c r="D278" t="s">
        <v>26</v>
      </c>
      <c r="E278" t="s">
        <v>1322</v>
      </c>
      <c r="F278" t="s">
        <v>58</v>
      </c>
      <c r="G278" t="s">
        <v>1323</v>
      </c>
      <c r="H278">
        <v>1899</v>
      </c>
      <c r="I278">
        <v>1</v>
      </c>
      <c r="J278">
        <v>1899</v>
      </c>
      <c r="K278" t="s">
        <v>1101</v>
      </c>
      <c r="L278">
        <v>20</v>
      </c>
      <c r="M278" t="s">
        <v>30</v>
      </c>
      <c r="N278" t="s">
        <v>31</v>
      </c>
      <c r="O278" t="s">
        <v>32</v>
      </c>
      <c r="P278" t="s">
        <v>33</v>
      </c>
      <c r="Q278" t="s">
        <v>32</v>
      </c>
      <c r="R278" t="s">
        <v>907</v>
      </c>
      <c r="S278" t="s">
        <v>35</v>
      </c>
      <c r="T278" t="s">
        <v>36</v>
      </c>
      <c r="W278" t="s">
        <v>37</v>
      </c>
    </row>
    <row r="279" spans="1:23" x14ac:dyDescent="0.3">
      <c r="A279" t="s">
        <v>1324</v>
      </c>
      <c r="B279" t="s">
        <v>714</v>
      </c>
      <c r="C279" t="s">
        <v>1325</v>
      </c>
      <c r="D279" t="s">
        <v>40</v>
      </c>
      <c r="E279" t="s">
        <v>1326</v>
      </c>
      <c r="F279" t="s">
        <v>67</v>
      </c>
      <c r="G279" t="s">
        <v>1327</v>
      </c>
      <c r="H279">
        <v>4999</v>
      </c>
      <c r="I279">
        <v>1</v>
      </c>
      <c r="J279">
        <v>4999</v>
      </c>
      <c r="L279">
        <v>0</v>
      </c>
      <c r="M279" t="s">
        <v>60</v>
      </c>
      <c r="N279" t="s">
        <v>46</v>
      </c>
      <c r="O279" t="s">
        <v>47</v>
      </c>
      <c r="P279" t="s">
        <v>47</v>
      </c>
      <c r="Q279" t="s">
        <v>47</v>
      </c>
      <c r="R279" t="s">
        <v>916</v>
      </c>
      <c r="S279" t="s">
        <v>35</v>
      </c>
      <c r="T279" t="s">
        <v>49</v>
      </c>
      <c r="U279" t="s">
        <v>89</v>
      </c>
      <c r="V279" t="s">
        <v>1328</v>
      </c>
      <c r="W279" t="s">
        <v>52</v>
      </c>
    </row>
    <row r="280" spans="1:23" x14ac:dyDescent="0.3">
      <c r="A280" t="s">
        <v>1329</v>
      </c>
      <c r="B280" t="s">
        <v>714</v>
      </c>
      <c r="C280" t="s">
        <v>1330</v>
      </c>
      <c r="D280" t="s">
        <v>26</v>
      </c>
      <c r="E280" t="s">
        <v>1331</v>
      </c>
      <c r="F280" t="s">
        <v>79</v>
      </c>
      <c r="G280" t="s">
        <v>1332</v>
      </c>
      <c r="H280">
        <v>1699</v>
      </c>
      <c r="I280">
        <v>1</v>
      </c>
      <c r="J280">
        <v>1699</v>
      </c>
      <c r="L280">
        <v>0</v>
      </c>
      <c r="M280" t="s">
        <v>128</v>
      </c>
      <c r="N280" t="s">
        <v>71</v>
      </c>
      <c r="O280" t="s">
        <v>101</v>
      </c>
      <c r="P280" t="s">
        <v>102</v>
      </c>
      <c r="Q280" t="s">
        <v>47</v>
      </c>
      <c r="R280" t="s">
        <v>907</v>
      </c>
      <c r="S280" t="s">
        <v>35</v>
      </c>
      <c r="T280" t="s">
        <v>49</v>
      </c>
      <c r="U280" t="s">
        <v>75</v>
      </c>
      <c r="V280" t="s">
        <v>1301</v>
      </c>
      <c r="W280" t="s">
        <v>52</v>
      </c>
    </row>
    <row r="281" spans="1:23" x14ac:dyDescent="0.3">
      <c r="A281" t="s">
        <v>1333</v>
      </c>
      <c r="B281" t="s">
        <v>714</v>
      </c>
      <c r="C281" t="s">
        <v>1334</v>
      </c>
      <c r="D281" t="s">
        <v>26</v>
      </c>
      <c r="E281" t="s">
        <v>1335</v>
      </c>
      <c r="F281" t="s">
        <v>28</v>
      </c>
      <c r="G281" t="s">
        <v>1336</v>
      </c>
      <c r="H281">
        <v>2099</v>
      </c>
      <c r="I281">
        <v>1</v>
      </c>
      <c r="J281">
        <v>2099</v>
      </c>
      <c r="K281" t="s">
        <v>1101</v>
      </c>
      <c r="L281">
        <v>20</v>
      </c>
      <c r="M281" t="s">
        <v>70</v>
      </c>
      <c r="N281" t="s">
        <v>31</v>
      </c>
      <c r="O281" t="s">
        <v>72</v>
      </c>
      <c r="P281" t="s">
        <v>73</v>
      </c>
      <c r="Q281" t="s">
        <v>61</v>
      </c>
      <c r="R281" t="s">
        <v>916</v>
      </c>
      <c r="S281" t="s">
        <v>35</v>
      </c>
      <c r="T281" t="s">
        <v>36</v>
      </c>
      <c r="W281" t="s">
        <v>37</v>
      </c>
    </row>
    <row r="282" spans="1:23" x14ac:dyDescent="0.3">
      <c r="A282" t="s">
        <v>1337</v>
      </c>
      <c r="B282" t="s">
        <v>714</v>
      </c>
      <c r="C282" t="s">
        <v>1338</v>
      </c>
      <c r="D282" t="s">
        <v>26</v>
      </c>
      <c r="E282" t="s">
        <v>246</v>
      </c>
      <c r="F282" t="s">
        <v>42</v>
      </c>
      <c r="G282" t="s">
        <v>1339</v>
      </c>
      <c r="H282">
        <v>4599</v>
      </c>
      <c r="I282">
        <v>1</v>
      </c>
      <c r="J282">
        <v>4599</v>
      </c>
      <c r="L282">
        <v>0</v>
      </c>
      <c r="M282" t="s">
        <v>45</v>
      </c>
      <c r="N282" t="s">
        <v>46</v>
      </c>
      <c r="O282" t="s">
        <v>86</v>
      </c>
      <c r="P282" t="s">
        <v>87</v>
      </c>
      <c r="Q282" t="s">
        <v>61</v>
      </c>
      <c r="R282" t="s">
        <v>937</v>
      </c>
      <c r="S282" t="s">
        <v>35</v>
      </c>
      <c r="T282" t="s">
        <v>49</v>
      </c>
      <c r="U282" t="s">
        <v>50</v>
      </c>
      <c r="V282" t="s">
        <v>1340</v>
      </c>
      <c r="W282" t="s">
        <v>52</v>
      </c>
    </row>
    <row r="283" spans="1:23" x14ac:dyDescent="0.3">
      <c r="A283" t="s">
        <v>1341</v>
      </c>
      <c r="B283" t="s">
        <v>727</v>
      </c>
      <c r="C283" t="s">
        <v>1342</v>
      </c>
      <c r="D283" t="s">
        <v>26</v>
      </c>
      <c r="E283" t="s">
        <v>1343</v>
      </c>
      <c r="F283" t="s">
        <v>58</v>
      </c>
      <c r="G283" t="s">
        <v>1344</v>
      </c>
      <c r="H283">
        <v>2299</v>
      </c>
      <c r="I283">
        <v>1</v>
      </c>
      <c r="J283">
        <v>2299</v>
      </c>
      <c r="L283">
        <v>0</v>
      </c>
      <c r="M283" t="s">
        <v>30</v>
      </c>
      <c r="N283" t="s">
        <v>71</v>
      </c>
      <c r="O283" t="s">
        <v>95</v>
      </c>
      <c r="P283" t="s">
        <v>33</v>
      </c>
      <c r="Q283" t="s">
        <v>32</v>
      </c>
      <c r="R283" t="s">
        <v>937</v>
      </c>
      <c r="S283" t="s">
        <v>35</v>
      </c>
      <c r="T283" t="s">
        <v>36</v>
      </c>
      <c r="W283" t="s">
        <v>37</v>
      </c>
    </row>
    <row r="284" spans="1:23" x14ac:dyDescent="0.3">
      <c r="A284" t="s">
        <v>1345</v>
      </c>
      <c r="B284" t="s">
        <v>727</v>
      </c>
      <c r="C284" t="s">
        <v>1346</v>
      </c>
      <c r="D284" t="s">
        <v>40</v>
      </c>
      <c r="E284" t="s">
        <v>1347</v>
      </c>
      <c r="F284" t="s">
        <v>67</v>
      </c>
      <c r="G284" t="s">
        <v>1348</v>
      </c>
      <c r="H284">
        <v>5799</v>
      </c>
      <c r="I284">
        <v>1</v>
      </c>
      <c r="J284">
        <v>5799</v>
      </c>
      <c r="K284" t="s">
        <v>1101</v>
      </c>
      <c r="L284">
        <v>20</v>
      </c>
      <c r="M284" t="s">
        <v>60</v>
      </c>
      <c r="N284" t="s">
        <v>31</v>
      </c>
      <c r="O284" t="s">
        <v>108</v>
      </c>
      <c r="P284" t="s">
        <v>109</v>
      </c>
      <c r="Q284" t="s">
        <v>32</v>
      </c>
      <c r="R284" t="s">
        <v>950</v>
      </c>
      <c r="S284" t="s">
        <v>35</v>
      </c>
      <c r="T284" t="s">
        <v>49</v>
      </c>
      <c r="U284" t="s">
        <v>119</v>
      </c>
      <c r="V284" t="s">
        <v>1349</v>
      </c>
      <c r="W284" t="s">
        <v>52</v>
      </c>
    </row>
    <row r="285" spans="1:23" x14ac:dyDescent="0.3">
      <c r="A285" t="s">
        <v>1350</v>
      </c>
      <c r="B285" t="s">
        <v>727</v>
      </c>
      <c r="C285" t="s">
        <v>1351</v>
      </c>
      <c r="D285" t="s">
        <v>26</v>
      </c>
      <c r="E285" t="s">
        <v>1352</v>
      </c>
      <c r="F285" t="s">
        <v>79</v>
      </c>
      <c r="G285" t="s">
        <v>1353</v>
      </c>
      <c r="H285">
        <v>799</v>
      </c>
      <c r="I285">
        <v>2</v>
      </c>
      <c r="J285">
        <v>1598</v>
      </c>
      <c r="L285">
        <v>0</v>
      </c>
      <c r="M285" t="s">
        <v>128</v>
      </c>
      <c r="N285" t="s">
        <v>46</v>
      </c>
      <c r="O285" t="s">
        <v>116</v>
      </c>
      <c r="P285" t="s">
        <v>117</v>
      </c>
      <c r="Q285" t="s">
        <v>47</v>
      </c>
      <c r="R285" t="s">
        <v>937</v>
      </c>
      <c r="S285" t="s">
        <v>35</v>
      </c>
      <c r="T285" t="s">
        <v>36</v>
      </c>
      <c r="W285" t="s">
        <v>37</v>
      </c>
    </row>
    <row r="286" spans="1:23" x14ac:dyDescent="0.3">
      <c r="A286" t="s">
        <v>1354</v>
      </c>
      <c r="B286" t="s">
        <v>727</v>
      </c>
      <c r="C286" t="s">
        <v>1355</v>
      </c>
      <c r="D286" t="s">
        <v>26</v>
      </c>
      <c r="E286" t="s">
        <v>1356</v>
      </c>
      <c r="F286" t="s">
        <v>28</v>
      </c>
      <c r="G286" t="s">
        <v>1357</v>
      </c>
      <c r="H286">
        <v>1999</v>
      </c>
      <c r="I286">
        <v>1</v>
      </c>
      <c r="J286">
        <v>1999</v>
      </c>
      <c r="L286">
        <v>0</v>
      </c>
      <c r="M286" t="s">
        <v>70</v>
      </c>
      <c r="N286" t="s">
        <v>71</v>
      </c>
      <c r="O286" t="s">
        <v>129</v>
      </c>
      <c r="P286" t="s">
        <v>130</v>
      </c>
      <c r="Q286" t="s">
        <v>47</v>
      </c>
      <c r="R286" t="s">
        <v>950</v>
      </c>
      <c r="S286" t="s">
        <v>35</v>
      </c>
      <c r="T286" t="s">
        <v>49</v>
      </c>
      <c r="U286" t="s">
        <v>158</v>
      </c>
      <c r="V286" t="s">
        <v>1340</v>
      </c>
      <c r="W286" t="s">
        <v>52</v>
      </c>
    </row>
    <row r="287" spans="1:23" x14ac:dyDescent="0.3">
      <c r="A287" t="s">
        <v>1358</v>
      </c>
      <c r="B287" t="s">
        <v>737</v>
      </c>
      <c r="C287" t="s">
        <v>1359</v>
      </c>
      <c r="D287" t="s">
        <v>26</v>
      </c>
      <c r="E287" t="s">
        <v>1360</v>
      </c>
      <c r="F287" t="s">
        <v>42</v>
      </c>
      <c r="G287" t="s">
        <v>1361</v>
      </c>
      <c r="H287">
        <v>3899</v>
      </c>
      <c r="I287">
        <v>1</v>
      </c>
      <c r="J287">
        <v>3899</v>
      </c>
      <c r="K287" t="s">
        <v>1101</v>
      </c>
      <c r="L287">
        <v>20</v>
      </c>
      <c r="M287" t="s">
        <v>45</v>
      </c>
      <c r="N287" t="s">
        <v>31</v>
      </c>
      <c r="O287" t="s">
        <v>61</v>
      </c>
      <c r="P287" t="s">
        <v>62</v>
      </c>
      <c r="Q287" t="s">
        <v>61</v>
      </c>
      <c r="R287" t="s">
        <v>959</v>
      </c>
      <c r="S287" t="s">
        <v>35</v>
      </c>
      <c r="T287" t="s">
        <v>49</v>
      </c>
      <c r="U287" t="s">
        <v>50</v>
      </c>
      <c r="V287" t="s">
        <v>1362</v>
      </c>
      <c r="W287" t="s">
        <v>52</v>
      </c>
    </row>
    <row r="288" spans="1:23" x14ac:dyDescent="0.3">
      <c r="A288" t="s">
        <v>1363</v>
      </c>
      <c r="B288" t="s">
        <v>737</v>
      </c>
      <c r="C288" t="s">
        <v>1364</v>
      </c>
      <c r="D288" t="s">
        <v>26</v>
      </c>
      <c r="E288" t="s">
        <v>1365</v>
      </c>
      <c r="F288" t="s">
        <v>58</v>
      </c>
      <c r="G288" t="s">
        <v>1366</v>
      </c>
      <c r="H288">
        <v>2599</v>
      </c>
      <c r="I288">
        <v>1</v>
      </c>
      <c r="J288">
        <v>2599</v>
      </c>
      <c r="L288">
        <v>0</v>
      </c>
      <c r="M288" t="s">
        <v>30</v>
      </c>
      <c r="N288" t="s">
        <v>46</v>
      </c>
      <c r="O288" t="s">
        <v>32</v>
      </c>
      <c r="P288" t="s">
        <v>33</v>
      </c>
      <c r="Q288" t="s">
        <v>32</v>
      </c>
      <c r="R288" t="s">
        <v>959</v>
      </c>
      <c r="S288" t="s">
        <v>35</v>
      </c>
      <c r="T288" t="s">
        <v>36</v>
      </c>
      <c r="W288" t="s">
        <v>37</v>
      </c>
    </row>
    <row r="289" spans="1:23" x14ac:dyDescent="0.3">
      <c r="A289" t="s">
        <v>1367</v>
      </c>
      <c r="B289" t="s">
        <v>737</v>
      </c>
      <c r="C289" t="s">
        <v>1368</v>
      </c>
      <c r="D289" t="s">
        <v>26</v>
      </c>
      <c r="E289" t="s">
        <v>1369</v>
      </c>
      <c r="F289" t="s">
        <v>67</v>
      </c>
      <c r="G289" t="s">
        <v>1370</v>
      </c>
      <c r="H289">
        <v>5299</v>
      </c>
      <c r="I289">
        <v>1</v>
      </c>
      <c r="J289">
        <v>5299</v>
      </c>
      <c r="L289">
        <v>0</v>
      </c>
      <c r="M289" t="s">
        <v>60</v>
      </c>
      <c r="N289" t="s">
        <v>71</v>
      </c>
      <c r="O289" t="s">
        <v>47</v>
      </c>
      <c r="P289" t="s">
        <v>47</v>
      </c>
      <c r="Q289" t="s">
        <v>47</v>
      </c>
      <c r="R289" t="s">
        <v>972</v>
      </c>
      <c r="S289" t="s">
        <v>35</v>
      </c>
      <c r="T289" t="s">
        <v>49</v>
      </c>
      <c r="U289" t="s">
        <v>89</v>
      </c>
      <c r="V289" t="s">
        <v>1371</v>
      </c>
      <c r="W289" t="s">
        <v>52</v>
      </c>
    </row>
    <row r="290" spans="1:23" x14ac:dyDescent="0.3">
      <c r="A290" t="s">
        <v>1372</v>
      </c>
      <c r="B290" t="s">
        <v>737</v>
      </c>
      <c r="C290" t="s">
        <v>1373</v>
      </c>
      <c r="D290" t="s">
        <v>40</v>
      </c>
      <c r="E290" t="s">
        <v>1374</v>
      </c>
      <c r="F290" t="s">
        <v>79</v>
      </c>
      <c r="G290" t="s">
        <v>1375</v>
      </c>
      <c r="H290">
        <v>1399</v>
      </c>
      <c r="I290">
        <v>1</v>
      </c>
      <c r="J290">
        <v>1399</v>
      </c>
      <c r="K290" t="s">
        <v>1101</v>
      </c>
      <c r="L290">
        <v>20</v>
      </c>
      <c r="M290" t="s">
        <v>128</v>
      </c>
      <c r="N290" t="s">
        <v>31</v>
      </c>
      <c r="O290" t="s">
        <v>135</v>
      </c>
      <c r="P290" t="s">
        <v>136</v>
      </c>
      <c r="Q290" t="s">
        <v>47</v>
      </c>
      <c r="R290" t="s">
        <v>959</v>
      </c>
      <c r="S290" t="s">
        <v>35</v>
      </c>
      <c r="T290" t="s">
        <v>36</v>
      </c>
      <c r="W290" t="s">
        <v>37</v>
      </c>
    </row>
    <row r="291" spans="1:23" x14ac:dyDescent="0.3">
      <c r="A291" t="s">
        <v>1376</v>
      </c>
      <c r="B291" t="s">
        <v>750</v>
      </c>
      <c r="C291" t="s">
        <v>1377</v>
      </c>
      <c r="D291" t="s">
        <v>26</v>
      </c>
      <c r="E291" t="s">
        <v>1378</v>
      </c>
      <c r="F291" t="s">
        <v>28</v>
      </c>
      <c r="G291" t="s">
        <v>1379</v>
      </c>
      <c r="H291">
        <v>1799</v>
      </c>
      <c r="I291">
        <v>1</v>
      </c>
      <c r="J291">
        <v>1799</v>
      </c>
      <c r="L291">
        <v>0</v>
      </c>
      <c r="M291" t="s">
        <v>70</v>
      </c>
      <c r="N291" t="s">
        <v>46</v>
      </c>
      <c r="O291" t="s">
        <v>156</v>
      </c>
      <c r="P291" t="s">
        <v>130</v>
      </c>
      <c r="Q291" t="s">
        <v>47</v>
      </c>
      <c r="R291" t="s">
        <v>972</v>
      </c>
      <c r="S291" t="s">
        <v>35</v>
      </c>
      <c r="T291" t="s">
        <v>49</v>
      </c>
      <c r="U291" t="s">
        <v>75</v>
      </c>
      <c r="V291" t="s">
        <v>1362</v>
      </c>
      <c r="W291" t="s">
        <v>52</v>
      </c>
    </row>
    <row r="292" spans="1:23" x14ac:dyDescent="0.3">
      <c r="A292" t="s">
        <v>1380</v>
      </c>
      <c r="B292" t="s">
        <v>750</v>
      </c>
      <c r="C292" t="s">
        <v>1381</v>
      </c>
      <c r="D292" t="s">
        <v>26</v>
      </c>
      <c r="E292" t="s">
        <v>1382</v>
      </c>
      <c r="F292" t="s">
        <v>42</v>
      </c>
      <c r="G292" t="s">
        <v>1383</v>
      </c>
      <c r="H292">
        <v>4199</v>
      </c>
      <c r="I292">
        <v>1</v>
      </c>
      <c r="J292">
        <v>4199</v>
      </c>
      <c r="L292">
        <v>0</v>
      </c>
      <c r="M292" t="s">
        <v>45</v>
      </c>
      <c r="N292" t="s">
        <v>71</v>
      </c>
      <c r="O292" t="s">
        <v>164</v>
      </c>
      <c r="P292" t="s">
        <v>165</v>
      </c>
      <c r="Q292" t="s">
        <v>47</v>
      </c>
      <c r="R292" t="s">
        <v>981</v>
      </c>
      <c r="S292" t="s">
        <v>35</v>
      </c>
      <c r="T292" t="s">
        <v>49</v>
      </c>
      <c r="U292" t="s">
        <v>50</v>
      </c>
      <c r="V292" t="s">
        <v>1384</v>
      </c>
      <c r="W292" t="s">
        <v>52</v>
      </c>
    </row>
    <row r="293" spans="1:23" x14ac:dyDescent="0.3">
      <c r="A293" t="s">
        <v>1385</v>
      </c>
      <c r="B293" t="s">
        <v>750</v>
      </c>
      <c r="C293" t="s">
        <v>1386</v>
      </c>
      <c r="D293" t="s">
        <v>26</v>
      </c>
      <c r="E293" t="s">
        <v>1387</v>
      </c>
      <c r="F293" t="s">
        <v>58</v>
      </c>
      <c r="G293" t="s">
        <v>1388</v>
      </c>
      <c r="H293">
        <v>2799</v>
      </c>
      <c r="I293">
        <v>1</v>
      </c>
      <c r="J293">
        <v>2799</v>
      </c>
      <c r="K293" t="s">
        <v>1101</v>
      </c>
      <c r="L293">
        <v>20</v>
      </c>
      <c r="M293" t="s">
        <v>30</v>
      </c>
      <c r="N293" t="s">
        <v>31</v>
      </c>
      <c r="O293" t="s">
        <v>171</v>
      </c>
      <c r="P293" t="s">
        <v>172</v>
      </c>
      <c r="Q293" t="s">
        <v>32</v>
      </c>
      <c r="R293" t="s">
        <v>981</v>
      </c>
      <c r="S293" t="s">
        <v>35</v>
      </c>
      <c r="T293" t="s">
        <v>36</v>
      </c>
      <c r="W293" t="s">
        <v>37</v>
      </c>
    </row>
    <row r="294" spans="1:23" x14ac:dyDescent="0.3">
      <c r="A294" t="s">
        <v>1389</v>
      </c>
      <c r="B294" t="s">
        <v>750</v>
      </c>
      <c r="C294" t="s">
        <v>1390</v>
      </c>
      <c r="D294" t="s">
        <v>26</v>
      </c>
      <c r="E294" t="s">
        <v>1391</v>
      </c>
      <c r="F294" t="s">
        <v>67</v>
      </c>
      <c r="G294" t="s">
        <v>1392</v>
      </c>
      <c r="H294">
        <v>5499</v>
      </c>
      <c r="I294">
        <v>1</v>
      </c>
      <c r="J294">
        <v>5499</v>
      </c>
      <c r="L294">
        <v>0</v>
      </c>
      <c r="M294" t="s">
        <v>60</v>
      </c>
      <c r="N294" t="s">
        <v>46</v>
      </c>
      <c r="O294" t="s">
        <v>177</v>
      </c>
      <c r="P294" t="s">
        <v>109</v>
      </c>
      <c r="Q294" t="s">
        <v>32</v>
      </c>
      <c r="R294" t="s">
        <v>1012</v>
      </c>
      <c r="S294" t="s">
        <v>35</v>
      </c>
      <c r="T294" t="s">
        <v>49</v>
      </c>
      <c r="U294" t="s">
        <v>119</v>
      </c>
      <c r="V294" t="s">
        <v>1393</v>
      </c>
      <c r="W294" t="s">
        <v>52</v>
      </c>
    </row>
    <row r="295" spans="1:23" x14ac:dyDescent="0.3">
      <c r="A295" t="s">
        <v>1394</v>
      </c>
      <c r="B295" t="s">
        <v>760</v>
      </c>
      <c r="C295" t="s">
        <v>1395</v>
      </c>
      <c r="D295" t="s">
        <v>40</v>
      </c>
      <c r="E295" t="s">
        <v>1396</v>
      </c>
      <c r="F295" t="s">
        <v>79</v>
      </c>
      <c r="G295" t="s">
        <v>1397</v>
      </c>
      <c r="H295">
        <v>699</v>
      </c>
      <c r="I295">
        <v>2</v>
      </c>
      <c r="J295">
        <v>1398</v>
      </c>
      <c r="L295">
        <v>0</v>
      </c>
      <c r="M295" t="s">
        <v>128</v>
      </c>
      <c r="N295" t="s">
        <v>71</v>
      </c>
      <c r="O295" t="s">
        <v>184</v>
      </c>
      <c r="P295" t="s">
        <v>185</v>
      </c>
      <c r="Q295" t="s">
        <v>47</v>
      </c>
      <c r="R295" t="s">
        <v>981</v>
      </c>
      <c r="S295" t="s">
        <v>35</v>
      </c>
      <c r="T295" t="s">
        <v>36</v>
      </c>
      <c r="W295" t="s">
        <v>37</v>
      </c>
    </row>
    <row r="296" spans="1:23" x14ac:dyDescent="0.3">
      <c r="A296" t="s">
        <v>1398</v>
      </c>
      <c r="B296" t="s">
        <v>760</v>
      </c>
      <c r="C296" t="s">
        <v>1399</v>
      </c>
      <c r="D296" t="s">
        <v>26</v>
      </c>
      <c r="E296" t="s">
        <v>1400</v>
      </c>
      <c r="F296" t="s">
        <v>28</v>
      </c>
      <c r="G296" t="s">
        <v>1401</v>
      </c>
      <c r="H296">
        <v>2299</v>
      </c>
      <c r="I296">
        <v>1</v>
      </c>
      <c r="J296">
        <v>2299</v>
      </c>
      <c r="K296" t="s">
        <v>1101</v>
      </c>
      <c r="L296">
        <v>20</v>
      </c>
      <c r="M296" t="s">
        <v>70</v>
      </c>
      <c r="N296" t="s">
        <v>31</v>
      </c>
      <c r="O296" t="s">
        <v>190</v>
      </c>
      <c r="P296" t="s">
        <v>172</v>
      </c>
      <c r="Q296" t="s">
        <v>32</v>
      </c>
      <c r="R296" t="s">
        <v>1012</v>
      </c>
      <c r="S296" t="s">
        <v>35</v>
      </c>
      <c r="T296" t="s">
        <v>49</v>
      </c>
      <c r="U296" t="s">
        <v>158</v>
      </c>
      <c r="V296" t="s">
        <v>1384</v>
      </c>
      <c r="W296" t="s">
        <v>52</v>
      </c>
    </row>
    <row r="297" spans="1:23" x14ac:dyDescent="0.3">
      <c r="A297" t="s">
        <v>1402</v>
      </c>
      <c r="B297" t="s">
        <v>760</v>
      </c>
      <c r="C297" t="s">
        <v>1403</v>
      </c>
      <c r="D297" t="s">
        <v>26</v>
      </c>
      <c r="E297" t="s">
        <v>1404</v>
      </c>
      <c r="F297" t="s">
        <v>42</v>
      </c>
      <c r="G297" t="s">
        <v>1405</v>
      </c>
      <c r="H297">
        <v>3599</v>
      </c>
      <c r="I297">
        <v>1</v>
      </c>
      <c r="J297">
        <v>3599</v>
      </c>
      <c r="L297">
        <v>0</v>
      </c>
      <c r="M297" t="s">
        <v>45</v>
      </c>
      <c r="N297" t="s">
        <v>46</v>
      </c>
      <c r="O297" t="s">
        <v>195</v>
      </c>
      <c r="P297" t="s">
        <v>33</v>
      </c>
      <c r="Q297" t="s">
        <v>32</v>
      </c>
      <c r="R297" t="s">
        <v>1003</v>
      </c>
      <c r="S297" t="s">
        <v>35</v>
      </c>
      <c r="T297" t="s">
        <v>36</v>
      </c>
      <c r="W297" t="s">
        <v>37</v>
      </c>
    </row>
    <row r="298" spans="1:23" x14ac:dyDescent="0.3">
      <c r="A298" t="s">
        <v>1406</v>
      </c>
      <c r="B298" t="s">
        <v>760</v>
      </c>
      <c r="C298" t="s">
        <v>1407</v>
      </c>
      <c r="D298" t="s">
        <v>26</v>
      </c>
      <c r="E298" t="s">
        <v>1408</v>
      </c>
      <c r="F298" t="s">
        <v>58</v>
      </c>
      <c r="G298" t="s">
        <v>1409</v>
      </c>
      <c r="H298">
        <v>2499</v>
      </c>
      <c r="I298">
        <v>1</v>
      </c>
      <c r="J298">
        <v>2499</v>
      </c>
      <c r="L298">
        <v>0</v>
      </c>
      <c r="M298" t="s">
        <v>30</v>
      </c>
      <c r="N298" t="s">
        <v>71</v>
      </c>
      <c r="O298" t="s">
        <v>202</v>
      </c>
      <c r="P298" t="s">
        <v>73</v>
      </c>
      <c r="Q298" t="s">
        <v>61</v>
      </c>
      <c r="R298" t="s">
        <v>1003</v>
      </c>
      <c r="S298" t="s">
        <v>35</v>
      </c>
      <c r="T298" t="s">
        <v>49</v>
      </c>
      <c r="U298" t="s">
        <v>50</v>
      </c>
      <c r="V298" t="s">
        <v>1410</v>
      </c>
      <c r="W298" t="s">
        <v>52</v>
      </c>
    </row>
    <row r="299" spans="1:23" x14ac:dyDescent="0.3">
      <c r="A299" t="s">
        <v>1411</v>
      </c>
      <c r="B299" t="s">
        <v>792</v>
      </c>
      <c r="C299" t="s">
        <v>1412</v>
      </c>
      <c r="D299" t="s">
        <v>26</v>
      </c>
      <c r="E299" t="s">
        <v>1413</v>
      </c>
      <c r="F299" t="s">
        <v>67</v>
      </c>
      <c r="G299" t="s">
        <v>1414</v>
      </c>
      <c r="H299">
        <v>6799</v>
      </c>
      <c r="I299">
        <v>1</v>
      </c>
      <c r="J299">
        <v>6799</v>
      </c>
      <c r="K299" t="s">
        <v>1101</v>
      </c>
      <c r="L299">
        <v>20</v>
      </c>
      <c r="M299" t="s">
        <v>60</v>
      </c>
      <c r="N299" t="s">
        <v>31</v>
      </c>
      <c r="O299" t="s">
        <v>208</v>
      </c>
      <c r="P299" t="s">
        <v>209</v>
      </c>
      <c r="Q299" t="s">
        <v>61</v>
      </c>
      <c r="R299" t="s">
        <v>1043</v>
      </c>
      <c r="S299" t="s">
        <v>35</v>
      </c>
      <c r="T299" t="s">
        <v>49</v>
      </c>
      <c r="U299" t="s">
        <v>89</v>
      </c>
      <c r="V299" t="s">
        <v>1415</v>
      </c>
      <c r="W299" t="s">
        <v>52</v>
      </c>
    </row>
    <row r="300" spans="1:23" x14ac:dyDescent="0.3">
      <c r="A300" t="s">
        <v>1416</v>
      </c>
      <c r="B300" t="s">
        <v>792</v>
      </c>
      <c r="C300" t="s">
        <v>1417</v>
      </c>
      <c r="D300" t="s">
        <v>40</v>
      </c>
      <c r="E300" t="s">
        <v>1418</v>
      </c>
      <c r="F300" t="s">
        <v>79</v>
      </c>
      <c r="G300" t="s">
        <v>1419</v>
      </c>
      <c r="H300">
        <v>599</v>
      </c>
      <c r="I300">
        <v>3</v>
      </c>
      <c r="J300">
        <v>1797</v>
      </c>
      <c r="L300">
        <v>0</v>
      </c>
      <c r="M300" t="s">
        <v>128</v>
      </c>
      <c r="N300" t="s">
        <v>46</v>
      </c>
      <c r="O300" t="s">
        <v>215</v>
      </c>
      <c r="P300" t="s">
        <v>216</v>
      </c>
      <c r="Q300" t="s">
        <v>61</v>
      </c>
      <c r="R300" t="s">
        <v>1003</v>
      </c>
      <c r="S300" t="s">
        <v>35</v>
      </c>
      <c r="T300" t="s">
        <v>36</v>
      </c>
      <c r="W300" t="s">
        <v>37</v>
      </c>
    </row>
    <row r="301" spans="1:23" x14ac:dyDescent="0.3">
      <c r="A301" t="s">
        <v>1420</v>
      </c>
      <c r="B301" t="s">
        <v>792</v>
      </c>
      <c r="C301" t="s">
        <v>1421</v>
      </c>
      <c r="D301" t="s">
        <v>26</v>
      </c>
      <c r="E301" t="s">
        <v>1422</v>
      </c>
      <c r="F301" t="s">
        <v>28</v>
      </c>
      <c r="G301" t="s">
        <v>1423</v>
      </c>
      <c r="H301">
        <v>1899</v>
      </c>
      <c r="I301">
        <v>1</v>
      </c>
      <c r="J301">
        <v>1899</v>
      </c>
      <c r="L301">
        <v>0</v>
      </c>
      <c r="M301" t="s">
        <v>70</v>
      </c>
      <c r="N301" t="s">
        <v>71</v>
      </c>
      <c r="O301" t="s">
        <v>221</v>
      </c>
      <c r="P301" t="s">
        <v>209</v>
      </c>
      <c r="Q301" t="s">
        <v>61</v>
      </c>
      <c r="R301" t="s">
        <v>1043</v>
      </c>
      <c r="S301" t="s">
        <v>35</v>
      </c>
      <c r="T301" t="s">
        <v>49</v>
      </c>
      <c r="U301" t="s">
        <v>75</v>
      </c>
      <c r="V301" t="s">
        <v>1410</v>
      </c>
      <c r="W301" t="s">
        <v>52</v>
      </c>
    </row>
    <row r="302" spans="1:23" x14ac:dyDescent="0.3">
      <c r="A302" t="s">
        <v>1424</v>
      </c>
      <c r="B302" t="s">
        <v>792</v>
      </c>
      <c r="C302" t="s">
        <v>1425</v>
      </c>
      <c r="D302" t="s">
        <v>26</v>
      </c>
      <c r="E302" t="s">
        <v>1426</v>
      </c>
      <c r="F302" t="s">
        <v>42</v>
      </c>
      <c r="G302" t="s">
        <v>1427</v>
      </c>
      <c r="H302">
        <v>4499</v>
      </c>
      <c r="I302">
        <v>1</v>
      </c>
      <c r="J302">
        <v>4499</v>
      </c>
      <c r="K302" t="s">
        <v>1101</v>
      </c>
      <c r="L302">
        <v>20</v>
      </c>
      <c r="M302" t="s">
        <v>45</v>
      </c>
      <c r="N302" t="s">
        <v>31</v>
      </c>
      <c r="O302" t="s">
        <v>226</v>
      </c>
      <c r="P302" t="s">
        <v>62</v>
      </c>
      <c r="Q302" t="s">
        <v>61</v>
      </c>
      <c r="R302" t="s">
        <v>1026</v>
      </c>
      <c r="S302" t="s">
        <v>35</v>
      </c>
      <c r="T302" t="s">
        <v>49</v>
      </c>
      <c r="U302" t="s">
        <v>50</v>
      </c>
      <c r="V302" t="s">
        <v>1428</v>
      </c>
      <c r="W302" t="s">
        <v>52</v>
      </c>
    </row>
    <row r="303" spans="1:23" x14ac:dyDescent="0.3">
      <c r="A303" t="s">
        <v>1429</v>
      </c>
      <c r="B303" t="s">
        <v>783</v>
      </c>
      <c r="C303" t="s">
        <v>1430</v>
      </c>
      <c r="D303" t="s">
        <v>26</v>
      </c>
      <c r="E303" t="s">
        <v>1431</v>
      </c>
      <c r="F303" t="s">
        <v>58</v>
      </c>
      <c r="G303" t="s">
        <v>1432</v>
      </c>
      <c r="H303">
        <v>2199</v>
      </c>
      <c r="I303">
        <v>1</v>
      </c>
      <c r="J303">
        <v>2199</v>
      </c>
      <c r="L303">
        <v>0</v>
      </c>
      <c r="M303" t="s">
        <v>30</v>
      </c>
      <c r="N303" t="s">
        <v>46</v>
      </c>
      <c r="O303" t="s">
        <v>233</v>
      </c>
      <c r="P303" t="s">
        <v>109</v>
      </c>
      <c r="Q303" t="s">
        <v>32</v>
      </c>
      <c r="R303" t="s">
        <v>1026</v>
      </c>
      <c r="S303" t="s">
        <v>35</v>
      </c>
      <c r="T303" t="s">
        <v>36</v>
      </c>
      <c r="W303" t="s">
        <v>37</v>
      </c>
    </row>
    <row r="304" spans="1:23" x14ac:dyDescent="0.3">
      <c r="A304" t="s">
        <v>1433</v>
      </c>
      <c r="B304" t="s">
        <v>783</v>
      </c>
      <c r="C304" t="s">
        <v>1434</v>
      </c>
      <c r="D304" t="s">
        <v>26</v>
      </c>
      <c r="E304" t="s">
        <v>1435</v>
      </c>
      <c r="F304" t="s">
        <v>67</v>
      </c>
      <c r="G304" t="s">
        <v>1436</v>
      </c>
      <c r="H304">
        <v>5199</v>
      </c>
      <c r="I304">
        <v>1</v>
      </c>
      <c r="J304">
        <v>5199</v>
      </c>
      <c r="L304">
        <v>0</v>
      </c>
      <c r="M304" t="s">
        <v>60</v>
      </c>
      <c r="N304" t="s">
        <v>71</v>
      </c>
      <c r="O304" t="s">
        <v>238</v>
      </c>
      <c r="P304" t="s">
        <v>109</v>
      </c>
      <c r="Q304" t="s">
        <v>32</v>
      </c>
      <c r="R304" t="s">
        <v>1065</v>
      </c>
      <c r="S304" t="s">
        <v>35</v>
      </c>
      <c r="T304" t="s">
        <v>49</v>
      </c>
      <c r="U304" t="s">
        <v>119</v>
      </c>
      <c r="V304" t="s">
        <v>1437</v>
      </c>
      <c r="W304" t="s">
        <v>52</v>
      </c>
    </row>
    <row r="305" spans="1:23" x14ac:dyDescent="0.3">
      <c r="A305" t="s">
        <v>1438</v>
      </c>
      <c r="B305" t="s">
        <v>783</v>
      </c>
      <c r="C305" t="s">
        <v>1439</v>
      </c>
      <c r="D305" t="s">
        <v>40</v>
      </c>
      <c r="E305" t="s">
        <v>1440</v>
      </c>
      <c r="F305" t="s">
        <v>79</v>
      </c>
      <c r="G305" t="s">
        <v>1441</v>
      </c>
      <c r="H305">
        <v>499</v>
      </c>
      <c r="I305">
        <v>2</v>
      </c>
      <c r="J305">
        <v>998</v>
      </c>
      <c r="K305" t="s">
        <v>1101</v>
      </c>
      <c r="L305">
        <v>20</v>
      </c>
      <c r="M305" t="s">
        <v>128</v>
      </c>
      <c r="N305" t="s">
        <v>31</v>
      </c>
      <c r="O305" t="s">
        <v>243</v>
      </c>
      <c r="P305" t="s">
        <v>130</v>
      </c>
      <c r="Q305" t="s">
        <v>47</v>
      </c>
      <c r="R305" t="s">
        <v>1026</v>
      </c>
      <c r="S305" t="s">
        <v>35</v>
      </c>
      <c r="T305" t="s">
        <v>36</v>
      </c>
      <c r="W305" t="s">
        <v>37</v>
      </c>
    </row>
    <row r="306" spans="1:23" x14ac:dyDescent="0.3">
      <c r="A306" t="s">
        <v>1442</v>
      </c>
      <c r="B306" t="s">
        <v>783</v>
      </c>
      <c r="C306" t="s">
        <v>1443</v>
      </c>
      <c r="D306" t="s">
        <v>26</v>
      </c>
      <c r="E306" t="s">
        <v>1444</v>
      </c>
      <c r="F306" t="s">
        <v>28</v>
      </c>
      <c r="G306" t="s">
        <v>1445</v>
      </c>
      <c r="H306">
        <v>2099</v>
      </c>
      <c r="I306">
        <v>1</v>
      </c>
      <c r="J306">
        <v>2099</v>
      </c>
      <c r="L306">
        <v>0</v>
      </c>
      <c r="M306" t="s">
        <v>70</v>
      </c>
      <c r="N306" t="s">
        <v>46</v>
      </c>
      <c r="O306" t="s">
        <v>32</v>
      </c>
      <c r="P306" t="s">
        <v>33</v>
      </c>
      <c r="Q306" t="s">
        <v>32</v>
      </c>
      <c r="R306" t="s">
        <v>1065</v>
      </c>
      <c r="S306" t="s">
        <v>35</v>
      </c>
      <c r="T306" t="s">
        <v>49</v>
      </c>
      <c r="U306" t="s">
        <v>158</v>
      </c>
      <c r="V306" t="s">
        <v>1428</v>
      </c>
      <c r="W306" t="s">
        <v>52</v>
      </c>
    </row>
    <row r="307" spans="1:23" x14ac:dyDescent="0.3">
      <c r="A307" t="s">
        <v>1446</v>
      </c>
      <c r="B307" t="s">
        <v>1215</v>
      </c>
      <c r="C307" t="s">
        <v>1447</v>
      </c>
      <c r="D307" t="s">
        <v>26</v>
      </c>
      <c r="E307" t="s">
        <v>1448</v>
      </c>
      <c r="F307" t="s">
        <v>42</v>
      </c>
      <c r="G307" t="s">
        <v>1449</v>
      </c>
      <c r="H307">
        <v>3999</v>
      </c>
      <c r="I307">
        <v>1</v>
      </c>
      <c r="J307">
        <v>3999</v>
      </c>
      <c r="L307">
        <v>0</v>
      </c>
      <c r="M307" t="s">
        <v>45</v>
      </c>
      <c r="N307" t="s">
        <v>71</v>
      </c>
      <c r="O307" t="s">
        <v>47</v>
      </c>
      <c r="P307" t="s">
        <v>47</v>
      </c>
      <c r="Q307" t="s">
        <v>47</v>
      </c>
      <c r="R307" t="s">
        <v>1048</v>
      </c>
      <c r="S307" t="s">
        <v>35</v>
      </c>
      <c r="T307" t="s">
        <v>49</v>
      </c>
      <c r="U307" t="s">
        <v>50</v>
      </c>
      <c r="V307" t="s">
        <v>1450</v>
      </c>
      <c r="W307" t="s">
        <v>52</v>
      </c>
    </row>
    <row r="308" spans="1:23" x14ac:dyDescent="0.3">
      <c r="A308" t="s">
        <v>1451</v>
      </c>
      <c r="B308" t="s">
        <v>1215</v>
      </c>
      <c r="C308" t="s">
        <v>1452</v>
      </c>
      <c r="D308" t="s">
        <v>26</v>
      </c>
      <c r="E308" t="s">
        <v>1453</v>
      </c>
      <c r="F308" t="s">
        <v>58</v>
      </c>
      <c r="G308" t="s">
        <v>1454</v>
      </c>
      <c r="H308">
        <v>2399</v>
      </c>
      <c r="I308">
        <v>1</v>
      </c>
      <c r="J308">
        <v>2399</v>
      </c>
      <c r="K308" t="s">
        <v>1101</v>
      </c>
      <c r="L308">
        <v>20</v>
      </c>
      <c r="M308" t="s">
        <v>30</v>
      </c>
      <c r="N308" t="s">
        <v>31</v>
      </c>
      <c r="O308" t="s">
        <v>101</v>
      </c>
      <c r="P308" t="s">
        <v>102</v>
      </c>
      <c r="Q308" t="s">
        <v>47</v>
      </c>
      <c r="R308" t="s">
        <v>1048</v>
      </c>
      <c r="S308" t="s">
        <v>35</v>
      </c>
      <c r="T308" t="s">
        <v>36</v>
      </c>
      <c r="W308" t="s">
        <v>37</v>
      </c>
    </row>
    <row r="309" spans="1:23" x14ac:dyDescent="0.3">
      <c r="A309" t="s">
        <v>1455</v>
      </c>
      <c r="B309" t="s">
        <v>1215</v>
      </c>
      <c r="C309" t="s">
        <v>1456</v>
      </c>
      <c r="D309" t="s">
        <v>26</v>
      </c>
      <c r="E309" t="s">
        <v>1457</v>
      </c>
      <c r="F309" t="s">
        <v>67</v>
      </c>
      <c r="G309" t="s">
        <v>1458</v>
      </c>
      <c r="H309">
        <v>7299</v>
      </c>
      <c r="I309">
        <v>1</v>
      </c>
      <c r="J309">
        <v>7299</v>
      </c>
      <c r="L309">
        <v>0</v>
      </c>
      <c r="M309" t="s">
        <v>60</v>
      </c>
      <c r="N309" t="s">
        <v>46</v>
      </c>
      <c r="O309" t="s">
        <v>72</v>
      </c>
      <c r="P309" t="s">
        <v>73</v>
      </c>
      <c r="Q309" t="s">
        <v>61</v>
      </c>
      <c r="R309" t="s">
        <v>1459</v>
      </c>
      <c r="S309" t="s">
        <v>35</v>
      </c>
      <c r="T309" t="s">
        <v>49</v>
      </c>
      <c r="U309" t="s">
        <v>89</v>
      </c>
      <c r="V309" t="s">
        <v>1460</v>
      </c>
      <c r="W309" t="s">
        <v>52</v>
      </c>
    </row>
    <row r="310" spans="1:23" x14ac:dyDescent="0.3">
      <c r="A310" t="s">
        <v>1461</v>
      </c>
      <c r="B310" t="s">
        <v>1215</v>
      </c>
      <c r="C310" t="s">
        <v>1462</v>
      </c>
      <c r="D310" t="s">
        <v>40</v>
      </c>
      <c r="E310" t="s">
        <v>1463</v>
      </c>
      <c r="F310" t="s">
        <v>79</v>
      </c>
      <c r="G310" t="s">
        <v>1464</v>
      </c>
      <c r="H310">
        <v>899</v>
      </c>
      <c r="I310">
        <v>1</v>
      </c>
      <c r="J310">
        <v>899</v>
      </c>
      <c r="L310">
        <v>0</v>
      </c>
      <c r="M310" t="s">
        <v>128</v>
      </c>
      <c r="N310" t="s">
        <v>71</v>
      </c>
      <c r="O310" t="s">
        <v>86</v>
      </c>
      <c r="P310" t="s">
        <v>87</v>
      </c>
      <c r="Q310" t="s">
        <v>61</v>
      </c>
      <c r="R310" t="s">
        <v>1048</v>
      </c>
      <c r="S310" t="s">
        <v>35</v>
      </c>
      <c r="T310" t="s">
        <v>49</v>
      </c>
      <c r="U310" t="s">
        <v>75</v>
      </c>
      <c r="V310" t="s">
        <v>1437</v>
      </c>
      <c r="W310" t="s">
        <v>52</v>
      </c>
    </row>
    <row r="311" spans="1:23" x14ac:dyDescent="0.3">
      <c r="A311" t="s">
        <v>1465</v>
      </c>
      <c r="B311" t="s">
        <v>818</v>
      </c>
      <c r="C311" t="s">
        <v>1466</v>
      </c>
      <c r="D311" t="s">
        <v>26</v>
      </c>
      <c r="E311" t="s">
        <v>1467</v>
      </c>
      <c r="F311" t="s">
        <v>28</v>
      </c>
      <c r="G311" t="s">
        <v>1468</v>
      </c>
      <c r="H311">
        <v>1999</v>
      </c>
      <c r="I311">
        <v>1</v>
      </c>
      <c r="J311">
        <v>1999</v>
      </c>
      <c r="K311" t="s">
        <v>1101</v>
      </c>
      <c r="L311">
        <v>20</v>
      </c>
      <c r="M311" t="s">
        <v>70</v>
      </c>
      <c r="N311" t="s">
        <v>31</v>
      </c>
      <c r="O311" t="s">
        <v>95</v>
      </c>
      <c r="P311" t="s">
        <v>33</v>
      </c>
      <c r="Q311" t="s">
        <v>32</v>
      </c>
      <c r="R311" t="s">
        <v>1459</v>
      </c>
      <c r="S311" t="s">
        <v>35</v>
      </c>
      <c r="T311" t="s">
        <v>36</v>
      </c>
      <c r="W311" t="s">
        <v>37</v>
      </c>
    </row>
    <row r="312" spans="1:23" x14ac:dyDescent="0.3">
      <c r="A312" t="s">
        <v>1469</v>
      </c>
      <c r="B312" t="s">
        <v>818</v>
      </c>
      <c r="C312" t="s">
        <v>1470</v>
      </c>
      <c r="D312" t="s">
        <v>26</v>
      </c>
      <c r="E312" t="s">
        <v>1471</v>
      </c>
      <c r="F312" t="s">
        <v>42</v>
      </c>
      <c r="G312" t="s">
        <v>1472</v>
      </c>
      <c r="H312">
        <v>4699</v>
      </c>
      <c r="I312">
        <v>1</v>
      </c>
      <c r="J312">
        <v>4699</v>
      </c>
      <c r="L312">
        <v>0</v>
      </c>
      <c r="M312" t="s">
        <v>45</v>
      </c>
      <c r="N312" t="s">
        <v>46</v>
      </c>
      <c r="O312" t="s">
        <v>108</v>
      </c>
      <c r="P312" t="s">
        <v>109</v>
      </c>
      <c r="Q312" t="s">
        <v>32</v>
      </c>
      <c r="R312" t="s">
        <v>1070</v>
      </c>
      <c r="S312" t="s">
        <v>35</v>
      </c>
      <c r="T312" t="s">
        <v>49</v>
      </c>
      <c r="U312" t="s">
        <v>50</v>
      </c>
      <c r="V312" t="s">
        <v>1473</v>
      </c>
      <c r="W312" t="s">
        <v>52</v>
      </c>
    </row>
    <row r="313" spans="1:23" x14ac:dyDescent="0.3">
      <c r="A313" t="s">
        <v>1474</v>
      </c>
      <c r="B313" t="s">
        <v>818</v>
      </c>
      <c r="C313" t="s">
        <v>1475</v>
      </c>
      <c r="D313" t="s">
        <v>26</v>
      </c>
      <c r="E313" t="s">
        <v>1476</v>
      </c>
      <c r="F313" t="s">
        <v>58</v>
      </c>
      <c r="G313" t="s">
        <v>1477</v>
      </c>
      <c r="H313">
        <v>2299</v>
      </c>
      <c r="I313">
        <v>1</v>
      </c>
      <c r="J313">
        <v>2299</v>
      </c>
      <c r="L313">
        <v>0</v>
      </c>
      <c r="M313" t="s">
        <v>30</v>
      </c>
      <c r="N313" t="s">
        <v>71</v>
      </c>
      <c r="O313" t="s">
        <v>116</v>
      </c>
      <c r="P313" t="s">
        <v>117</v>
      </c>
      <c r="Q313" t="s">
        <v>47</v>
      </c>
      <c r="R313" t="s">
        <v>1070</v>
      </c>
      <c r="S313" t="s">
        <v>35</v>
      </c>
      <c r="T313" t="s">
        <v>36</v>
      </c>
      <c r="W313" t="s">
        <v>37</v>
      </c>
    </row>
    <row r="314" spans="1:23" x14ac:dyDescent="0.3">
      <c r="A314" t="s">
        <v>1478</v>
      </c>
      <c r="B314" t="s">
        <v>818</v>
      </c>
      <c r="C314" t="s">
        <v>1479</v>
      </c>
      <c r="D314" t="s">
        <v>26</v>
      </c>
      <c r="E314" t="s">
        <v>1480</v>
      </c>
      <c r="F314" t="s">
        <v>67</v>
      </c>
      <c r="G314" t="s">
        <v>1481</v>
      </c>
      <c r="H314">
        <v>5399</v>
      </c>
      <c r="I314">
        <v>1</v>
      </c>
      <c r="J314">
        <v>5399</v>
      </c>
      <c r="K314" t="s">
        <v>1101</v>
      </c>
      <c r="L314">
        <v>20</v>
      </c>
      <c r="M314" t="s">
        <v>60</v>
      </c>
      <c r="N314" t="s">
        <v>31</v>
      </c>
      <c r="O314" t="s">
        <v>129</v>
      </c>
      <c r="P314" t="s">
        <v>130</v>
      </c>
      <c r="Q314" t="s">
        <v>47</v>
      </c>
      <c r="R314" t="s">
        <v>1083</v>
      </c>
      <c r="S314" t="s">
        <v>35</v>
      </c>
      <c r="T314" t="s">
        <v>49</v>
      </c>
      <c r="U314" t="s">
        <v>119</v>
      </c>
      <c r="V314" t="s">
        <v>1482</v>
      </c>
      <c r="W314" t="s">
        <v>52</v>
      </c>
    </row>
    <row r="315" spans="1:23" x14ac:dyDescent="0.3">
      <c r="A315" t="s">
        <v>1483</v>
      </c>
      <c r="B315" t="s">
        <v>835</v>
      </c>
      <c r="C315" t="s">
        <v>1484</v>
      </c>
      <c r="D315" t="s">
        <v>40</v>
      </c>
      <c r="E315" t="s">
        <v>1485</v>
      </c>
      <c r="F315" t="s">
        <v>79</v>
      </c>
      <c r="G315" t="s">
        <v>1486</v>
      </c>
      <c r="H315">
        <v>1199</v>
      </c>
      <c r="I315">
        <v>1</v>
      </c>
      <c r="J315">
        <v>1199</v>
      </c>
      <c r="L315">
        <v>0</v>
      </c>
      <c r="M315" t="s">
        <v>128</v>
      </c>
      <c r="N315" t="s">
        <v>46</v>
      </c>
      <c r="O315" t="s">
        <v>61</v>
      </c>
      <c r="P315" t="s">
        <v>62</v>
      </c>
      <c r="Q315" t="s">
        <v>61</v>
      </c>
      <c r="R315" t="s">
        <v>1070</v>
      </c>
      <c r="S315" t="s">
        <v>35</v>
      </c>
      <c r="T315" t="s">
        <v>36</v>
      </c>
      <c r="W315" t="s">
        <v>37</v>
      </c>
    </row>
    <row r="316" spans="1:23" x14ac:dyDescent="0.3">
      <c r="A316" t="s">
        <v>1487</v>
      </c>
      <c r="B316" t="s">
        <v>835</v>
      </c>
      <c r="C316" t="s">
        <v>1488</v>
      </c>
      <c r="D316" t="s">
        <v>26</v>
      </c>
      <c r="E316" t="s">
        <v>1489</v>
      </c>
      <c r="F316" t="s">
        <v>28</v>
      </c>
      <c r="G316" t="s">
        <v>1490</v>
      </c>
      <c r="H316">
        <v>2199</v>
      </c>
      <c r="I316">
        <v>1</v>
      </c>
      <c r="J316">
        <v>2199</v>
      </c>
      <c r="L316">
        <v>0</v>
      </c>
      <c r="M316" t="s">
        <v>70</v>
      </c>
      <c r="N316" t="s">
        <v>71</v>
      </c>
      <c r="O316" t="s">
        <v>32</v>
      </c>
      <c r="P316" t="s">
        <v>33</v>
      </c>
      <c r="Q316" t="s">
        <v>32</v>
      </c>
      <c r="R316" t="s">
        <v>1083</v>
      </c>
      <c r="S316" t="s">
        <v>35</v>
      </c>
      <c r="T316" t="s">
        <v>49</v>
      </c>
      <c r="U316" t="s">
        <v>158</v>
      </c>
      <c r="V316" t="s">
        <v>1473</v>
      </c>
      <c r="W316" t="s">
        <v>52</v>
      </c>
    </row>
    <row r="317" spans="1:23" x14ac:dyDescent="0.3">
      <c r="A317" t="s">
        <v>1491</v>
      </c>
      <c r="B317" t="s">
        <v>835</v>
      </c>
      <c r="C317" t="s">
        <v>1492</v>
      </c>
      <c r="D317" t="s">
        <v>26</v>
      </c>
      <c r="E317" t="s">
        <v>1493</v>
      </c>
      <c r="F317" t="s">
        <v>42</v>
      </c>
      <c r="G317" t="s">
        <v>1494</v>
      </c>
      <c r="H317">
        <v>3799</v>
      </c>
      <c r="I317">
        <v>1</v>
      </c>
      <c r="J317">
        <v>3799</v>
      </c>
      <c r="K317" t="s">
        <v>1101</v>
      </c>
      <c r="L317">
        <v>20</v>
      </c>
      <c r="M317" t="s">
        <v>45</v>
      </c>
      <c r="N317" t="s">
        <v>31</v>
      </c>
      <c r="O317" t="s">
        <v>47</v>
      </c>
      <c r="P317" t="s">
        <v>47</v>
      </c>
      <c r="Q317" t="s">
        <v>47</v>
      </c>
      <c r="R317" t="s">
        <v>1092</v>
      </c>
      <c r="S317" t="s">
        <v>35</v>
      </c>
      <c r="T317" t="s">
        <v>49</v>
      </c>
      <c r="U317" t="s">
        <v>50</v>
      </c>
      <c r="V317" t="s">
        <v>1495</v>
      </c>
      <c r="W317" t="s">
        <v>52</v>
      </c>
    </row>
    <row r="318" spans="1:23" x14ac:dyDescent="0.3">
      <c r="A318" t="s">
        <v>1496</v>
      </c>
      <c r="B318" t="s">
        <v>835</v>
      </c>
      <c r="C318" t="s">
        <v>1497</v>
      </c>
      <c r="D318" t="s">
        <v>26</v>
      </c>
      <c r="E318" t="s">
        <v>1498</v>
      </c>
      <c r="F318" t="s">
        <v>58</v>
      </c>
      <c r="G318" t="s">
        <v>1499</v>
      </c>
      <c r="H318">
        <v>2499</v>
      </c>
      <c r="I318">
        <v>1</v>
      </c>
      <c r="J318">
        <v>2499</v>
      </c>
      <c r="L318">
        <v>0</v>
      </c>
      <c r="M318" t="s">
        <v>30</v>
      </c>
      <c r="N318" t="s">
        <v>46</v>
      </c>
      <c r="O318" t="s">
        <v>135</v>
      </c>
      <c r="P318" t="s">
        <v>136</v>
      </c>
      <c r="Q318" t="s">
        <v>47</v>
      </c>
      <c r="R318" t="s">
        <v>1092</v>
      </c>
      <c r="S318" t="s">
        <v>35</v>
      </c>
      <c r="T318" t="s">
        <v>36</v>
      </c>
      <c r="W318" t="s">
        <v>37</v>
      </c>
    </row>
    <row r="319" spans="1:23" x14ac:dyDescent="0.3">
      <c r="A319" t="s">
        <v>1500</v>
      </c>
      <c r="B319" t="s">
        <v>827</v>
      </c>
      <c r="C319" t="s">
        <v>1501</v>
      </c>
      <c r="D319" t="s">
        <v>26</v>
      </c>
      <c r="E319" t="s">
        <v>1502</v>
      </c>
      <c r="F319" t="s">
        <v>67</v>
      </c>
      <c r="G319" t="s">
        <v>1503</v>
      </c>
      <c r="H319">
        <v>6499</v>
      </c>
      <c r="I319">
        <v>1</v>
      </c>
      <c r="J319">
        <v>6499</v>
      </c>
      <c r="L319">
        <v>0</v>
      </c>
      <c r="M319" t="s">
        <v>60</v>
      </c>
      <c r="N319" t="s">
        <v>71</v>
      </c>
      <c r="O319" t="s">
        <v>156</v>
      </c>
      <c r="P319" t="s">
        <v>130</v>
      </c>
      <c r="Q319" t="s">
        <v>47</v>
      </c>
      <c r="R319" t="s">
        <v>1504</v>
      </c>
      <c r="S319" t="s">
        <v>35</v>
      </c>
      <c r="T319" t="s">
        <v>49</v>
      </c>
      <c r="U319" t="s">
        <v>89</v>
      </c>
      <c r="V319" t="s">
        <v>1505</v>
      </c>
      <c r="W319" t="s">
        <v>52</v>
      </c>
    </row>
    <row r="320" spans="1:23" x14ac:dyDescent="0.3">
      <c r="A320" t="s">
        <v>1506</v>
      </c>
      <c r="B320" t="s">
        <v>827</v>
      </c>
      <c r="C320" t="s">
        <v>1507</v>
      </c>
      <c r="D320" t="s">
        <v>40</v>
      </c>
      <c r="E320" t="s">
        <v>1508</v>
      </c>
      <c r="F320" t="s">
        <v>79</v>
      </c>
      <c r="G320" t="s">
        <v>1509</v>
      </c>
      <c r="H320">
        <v>499</v>
      </c>
      <c r="I320">
        <v>3</v>
      </c>
      <c r="J320">
        <v>1497</v>
      </c>
      <c r="K320" t="s">
        <v>1101</v>
      </c>
      <c r="L320">
        <v>20</v>
      </c>
      <c r="M320" t="s">
        <v>128</v>
      </c>
      <c r="N320" t="s">
        <v>31</v>
      </c>
      <c r="O320" t="s">
        <v>164</v>
      </c>
      <c r="P320" t="s">
        <v>165</v>
      </c>
      <c r="Q320" t="s">
        <v>47</v>
      </c>
      <c r="R320" t="s">
        <v>1092</v>
      </c>
      <c r="S320" t="s">
        <v>35</v>
      </c>
      <c r="T320" t="s">
        <v>36</v>
      </c>
      <c r="W320" t="s">
        <v>37</v>
      </c>
    </row>
    <row r="321" spans="1:23" x14ac:dyDescent="0.3">
      <c r="A321" t="s">
        <v>1510</v>
      </c>
      <c r="B321" t="s">
        <v>827</v>
      </c>
      <c r="C321" t="s">
        <v>1511</v>
      </c>
      <c r="D321" t="s">
        <v>26</v>
      </c>
      <c r="E321" t="s">
        <v>1512</v>
      </c>
      <c r="F321" t="s">
        <v>28</v>
      </c>
      <c r="G321" t="s">
        <v>1513</v>
      </c>
      <c r="H321">
        <v>1799</v>
      </c>
      <c r="I321">
        <v>1</v>
      </c>
      <c r="J321">
        <v>1799</v>
      </c>
      <c r="L321">
        <v>0</v>
      </c>
      <c r="M321" t="s">
        <v>70</v>
      </c>
      <c r="N321" t="s">
        <v>46</v>
      </c>
      <c r="O321" t="s">
        <v>171</v>
      </c>
      <c r="P321" t="s">
        <v>172</v>
      </c>
      <c r="Q321" t="s">
        <v>32</v>
      </c>
      <c r="R321" t="s">
        <v>1504</v>
      </c>
      <c r="S321" t="s">
        <v>35</v>
      </c>
      <c r="T321" t="s">
        <v>49</v>
      </c>
      <c r="U321" t="s">
        <v>75</v>
      </c>
      <c r="V321" t="s">
        <v>1495</v>
      </c>
      <c r="W321" t="s">
        <v>52</v>
      </c>
    </row>
    <row r="322" spans="1:23" x14ac:dyDescent="0.3">
      <c r="A322" t="s">
        <v>1514</v>
      </c>
      <c r="B322" t="s">
        <v>827</v>
      </c>
      <c r="C322" t="s">
        <v>1515</v>
      </c>
      <c r="D322" t="s">
        <v>26</v>
      </c>
      <c r="E322" t="s">
        <v>1516</v>
      </c>
      <c r="F322" t="s">
        <v>42</v>
      </c>
      <c r="G322" t="s">
        <v>1517</v>
      </c>
      <c r="H322">
        <v>4299</v>
      </c>
      <c r="I322">
        <v>1</v>
      </c>
      <c r="J322">
        <v>4299</v>
      </c>
      <c r="L322">
        <v>0</v>
      </c>
      <c r="M322" t="s">
        <v>45</v>
      </c>
      <c r="N322" t="s">
        <v>71</v>
      </c>
      <c r="O322" t="s">
        <v>177</v>
      </c>
      <c r="P322" t="s">
        <v>109</v>
      </c>
      <c r="Q322" t="s">
        <v>32</v>
      </c>
      <c r="R322" t="s">
        <v>1230</v>
      </c>
      <c r="S322" t="s">
        <v>35</v>
      </c>
      <c r="T322" t="s">
        <v>49</v>
      </c>
      <c r="U322" t="s">
        <v>50</v>
      </c>
      <c r="V322" t="s">
        <v>1518</v>
      </c>
      <c r="W322" t="s">
        <v>52</v>
      </c>
    </row>
    <row r="323" spans="1:23" x14ac:dyDescent="0.3">
      <c r="A323" t="s">
        <v>1519</v>
      </c>
      <c r="B323" t="s">
        <v>840</v>
      </c>
      <c r="C323" t="s">
        <v>1520</v>
      </c>
      <c r="D323" t="s">
        <v>26</v>
      </c>
      <c r="E323" t="s">
        <v>1521</v>
      </c>
      <c r="F323" t="s">
        <v>58</v>
      </c>
      <c r="G323" t="s">
        <v>1522</v>
      </c>
      <c r="H323">
        <v>1899</v>
      </c>
      <c r="I323">
        <v>1</v>
      </c>
      <c r="J323">
        <v>1899</v>
      </c>
      <c r="K323" t="s">
        <v>1101</v>
      </c>
      <c r="L323">
        <v>20</v>
      </c>
      <c r="M323" t="s">
        <v>30</v>
      </c>
      <c r="N323" t="s">
        <v>31</v>
      </c>
      <c r="O323" t="s">
        <v>184</v>
      </c>
      <c r="P323" t="s">
        <v>185</v>
      </c>
      <c r="Q323" t="s">
        <v>47</v>
      </c>
      <c r="R323" t="s">
        <v>1230</v>
      </c>
      <c r="S323" t="s">
        <v>35</v>
      </c>
      <c r="T323" t="s">
        <v>36</v>
      </c>
      <c r="W323" t="s">
        <v>37</v>
      </c>
    </row>
    <row r="324" spans="1:23" x14ac:dyDescent="0.3">
      <c r="A324" t="s">
        <v>1523</v>
      </c>
      <c r="B324" t="s">
        <v>840</v>
      </c>
      <c r="C324" t="s">
        <v>1524</v>
      </c>
      <c r="D324" t="s">
        <v>26</v>
      </c>
      <c r="E324" t="s">
        <v>1525</v>
      </c>
      <c r="F324" t="s">
        <v>67</v>
      </c>
      <c r="G324" t="s">
        <v>1526</v>
      </c>
      <c r="H324">
        <v>4999</v>
      </c>
      <c r="I324">
        <v>1</v>
      </c>
      <c r="J324">
        <v>4999</v>
      </c>
      <c r="L324">
        <v>0</v>
      </c>
      <c r="M324" t="s">
        <v>60</v>
      </c>
      <c r="N324" t="s">
        <v>46</v>
      </c>
      <c r="O324" t="s">
        <v>190</v>
      </c>
      <c r="P324" t="s">
        <v>172</v>
      </c>
      <c r="Q324" t="s">
        <v>32</v>
      </c>
      <c r="R324" t="s">
        <v>1247</v>
      </c>
      <c r="S324" t="s">
        <v>35</v>
      </c>
      <c r="T324" t="s">
        <v>49</v>
      </c>
      <c r="U324" t="s">
        <v>119</v>
      </c>
      <c r="V324" t="s">
        <v>1527</v>
      </c>
      <c r="W324" t="s">
        <v>52</v>
      </c>
    </row>
    <row r="325" spans="1:23" x14ac:dyDescent="0.3">
      <c r="A325" t="s">
        <v>1528</v>
      </c>
      <c r="B325" t="s">
        <v>840</v>
      </c>
      <c r="C325" t="s">
        <v>1529</v>
      </c>
      <c r="D325" t="s">
        <v>40</v>
      </c>
      <c r="E325" t="s">
        <v>1530</v>
      </c>
      <c r="F325" t="s">
        <v>79</v>
      </c>
      <c r="G325" t="s">
        <v>1531</v>
      </c>
      <c r="H325">
        <v>1399</v>
      </c>
      <c r="I325">
        <v>1</v>
      </c>
      <c r="J325">
        <v>1399</v>
      </c>
      <c r="L325">
        <v>0</v>
      </c>
      <c r="M325" t="s">
        <v>128</v>
      </c>
      <c r="N325" t="s">
        <v>71</v>
      </c>
      <c r="O325" t="s">
        <v>195</v>
      </c>
      <c r="P325" t="s">
        <v>33</v>
      </c>
      <c r="Q325" t="s">
        <v>32</v>
      </c>
      <c r="R325" t="s">
        <v>1230</v>
      </c>
      <c r="S325" t="s">
        <v>35</v>
      </c>
      <c r="T325" t="s">
        <v>36</v>
      </c>
      <c r="W325" t="s">
        <v>37</v>
      </c>
    </row>
    <row r="326" spans="1:23" x14ac:dyDescent="0.3">
      <c r="A326" t="s">
        <v>1532</v>
      </c>
      <c r="B326" t="s">
        <v>840</v>
      </c>
      <c r="C326" t="s">
        <v>1533</v>
      </c>
      <c r="D326" t="s">
        <v>26</v>
      </c>
      <c r="E326" t="s">
        <v>1534</v>
      </c>
      <c r="F326" t="s">
        <v>28</v>
      </c>
      <c r="G326" t="s">
        <v>1535</v>
      </c>
      <c r="H326">
        <v>2099</v>
      </c>
      <c r="I326">
        <v>1</v>
      </c>
      <c r="J326">
        <v>2099</v>
      </c>
      <c r="K326" t="s">
        <v>1101</v>
      </c>
      <c r="L326">
        <v>20</v>
      </c>
      <c r="M326" t="s">
        <v>70</v>
      </c>
      <c r="N326" t="s">
        <v>31</v>
      </c>
      <c r="O326" t="s">
        <v>202</v>
      </c>
      <c r="P326" t="s">
        <v>73</v>
      </c>
      <c r="Q326" t="s">
        <v>61</v>
      </c>
      <c r="R326" t="s">
        <v>1247</v>
      </c>
      <c r="S326" t="s">
        <v>35</v>
      </c>
      <c r="T326" t="s">
        <v>49</v>
      </c>
      <c r="U326" t="s">
        <v>158</v>
      </c>
      <c r="V326" t="s">
        <v>1518</v>
      </c>
      <c r="W326" t="s">
        <v>52</v>
      </c>
    </row>
    <row r="327" spans="1:23" x14ac:dyDescent="0.3">
      <c r="A327" t="s">
        <v>1536</v>
      </c>
      <c r="B327" t="s">
        <v>850</v>
      </c>
      <c r="C327" t="s">
        <v>1537</v>
      </c>
      <c r="D327" t="s">
        <v>26</v>
      </c>
      <c r="E327" t="s">
        <v>1538</v>
      </c>
      <c r="F327" t="s">
        <v>42</v>
      </c>
      <c r="G327" t="s">
        <v>1539</v>
      </c>
      <c r="H327">
        <v>2999</v>
      </c>
      <c r="I327">
        <v>1</v>
      </c>
      <c r="J327">
        <v>2999</v>
      </c>
      <c r="L327">
        <v>0</v>
      </c>
      <c r="M327" t="s">
        <v>45</v>
      </c>
      <c r="N327" t="s">
        <v>46</v>
      </c>
      <c r="O327" t="s">
        <v>208</v>
      </c>
      <c r="P327" t="s">
        <v>209</v>
      </c>
      <c r="Q327" t="s">
        <v>61</v>
      </c>
      <c r="R327" t="s">
        <v>1238</v>
      </c>
      <c r="S327" t="s">
        <v>35</v>
      </c>
      <c r="T327" t="s">
        <v>49</v>
      </c>
      <c r="U327" t="s">
        <v>50</v>
      </c>
      <c r="V327" t="s">
        <v>1540</v>
      </c>
      <c r="W327" t="s">
        <v>52</v>
      </c>
    </row>
    <row r="328" spans="1:23" x14ac:dyDescent="0.3">
      <c r="A328" t="s">
        <v>1541</v>
      </c>
      <c r="B328" t="s">
        <v>850</v>
      </c>
      <c r="C328" t="s">
        <v>1542</v>
      </c>
      <c r="D328" t="s">
        <v>26</v>
      </c>
      <c r="E328" t="s">
        <v>1543</v>
      </c>
      <c r="F328" t="s">
        <v>58</v>
      </c>
      <c r="G328" t="s">
        <v>1544</v>
      </c>
      <c r="H328">
        <v>2199</v>
      </c>
      <c r="I328">
        <v>1</v>
      </c>
      <c r="J328">
        <v>2199</v>
      </c>
      <c r="L328">
        <v>0</v>
      </c>
      <c r="M328" t="s">
        <v>30</v>
      </c>
      <c r="N328" t="s">
        <v>71</v>
      </c>
      <c r="O328" t="s">
        <v>215</v>
      </c>
      <c r="P328" t="s">
        <v>216</v>
      </c>
      <c r="Q328" t="s">
        <v>61</v>
      </c>
      <c r="R328" t="s">
        <v>1238</v>
      </c>
      <c r="S328" t="s">
        <v>35</v>
      </c>
      <c r="T328" t="s">
        <v>36</v>
      </c>
      <c r="W328" t="s">
        <v>37</v>
      </c>
    </row>
    <row r="329" spans="1:23" x14ac:dyDescent="0.3">
      <c r="A329" t="s">
        <v>1545</v>
      </c>
      <c r="B329" t="s">
        <v>850</v>
      </c>
      <c r="C329" t="s">
        <v>1546</v>
      </c>
      <c r="D329" t="s">
        <v>26</v>
      </c>
      <c r="E329" t="s">
        <v>1547</v>
      </c>
      <c r="F329" t="s">
        <v>67</v>
      </c>
      <c r="G329" t="s">
        <v>1548</v>
      </c>
      <c r="H329">
        <v>5999</v>
      </c>
      <c r="I329">
        <v>1</v>
      </c>
      <c r="J329">
        <v>5999</v>
      </c>
      <c r="K329" t="s">
        <v>1101</v>
      </c>
      <c r="L329">
        <v>20</v>
      </c>
      <c r="M329" t="s">
        <v>60</v>
      </c>
      <c r="N329" t="s">
        <v>31</v>
      </c>
      <c r="O329" t="s">
        <v>221</v>
      </c>
      <c r="P329" t="s">
        <v>209</v>
      </c>
      <c r="Q329" t="s">
        <v>61</v>
      </c>
      <c r="R329" t="s">
        <v>1270</v>
      </c>
      <c r="S329" t="s">
        <v>35</v>
      </c>
      <c r="T329" t="s">
        <v>49</v>
      </c>
      <c r="U329" t="s">
        <v>89</v>
      </c>
      <c r="V329" t="s">
        <v>1549</v>
      </c>
      <c r="W329" t="s">
        <v>52</v>
      </c>
    </row>
    <row r="330" spans="1:23" x14ac:dyDescent="0.3">
      <c r="A330" t="s">
        <v>1550</v>
      </c>
      <c r="B330" t="s">
        <v>850</v>
      </c>
      <c r="C330" t="s">
        <v>1551</v>
      </c>
      <c r="D330" t="s">
        <v>40</v>
      </c>
      <c r="E330" t="s">
        <v>1552</v>
      </c>
      <c r="F330" t="s">
        <v>79</v>
      </c>
      <c r="G330" t="s">
        <v>1553</v>
      </c>
      <c r="H330">
        <v>1299</v>
      </c>
      <c r="I330">
        <v>1</v>
      </c>
      <c r="J330">
        <v>1299</v>
      </c>
      <c r="L330">
        <v>0</v>
      </c>
      <c r="M330" t="s">
        <v>128</v>
      </c>
      <c r="N330" t="s">
        <v>46</v>
      </c>
      <c r="O330" t="s">
        <v>226</v>
      </c>
      <c r="P330" t="s">
        <v>62</v>
      </c>
      <c r="Q330" t="s">
        <v>61</v>
      </c>
      <c r="R330" t="s">
        <v>1238</v>
      </c>
      <c r="S330" t="s">
        <v>35</v>
      </c>
      <c r="T330" t="s">
        <v>49</v>
      </c>
      <c r="U330" t="s">
        <v>75</v>
      </c>
      <c r="V330" t="s">
        <v>1527</v>
      </c>
      <c r="W330" t="s">
        <v>52</v>
      </c>
    </row>
    <row r="331" spans="1:23" x14ac:dyDescent="0.3">
      <c r="A331" t="s">
        <v>1554</v>
      </c>
      <c r="B331" t="s">
        <v>898</v>
      </c>
      <c r="C331" t="s">
        <v>1555</v>
      </c>
      <c r="D331" t="s">
        <v>26</v>
      </c>
      <c r="E331" t="s">
        <v>1556</v>
      </c>
      <c r="F331" t="s">
        <v>28</v>
      </c>
      <c r="G331" t="s">
        <v>1557</v>
      </c>
      <c r="H331">
        <v>999</v>
      </c>
      <c r="I331">
        <v>2</v>
      </c>
      <c r="J331">
        <v>1998</v>
      </c>
      <c r="L331">
        <v>0</v>
      </c>
      <c r="M331" t="s">
        <v>70</v>
      </c>
      <c r="N331" t="s">
        <v>71</v>
      </c>
      <c r="O331" t="s">
        <v>233</v>
      </c>
      <c r="P331" t="s">
        <v>109</v>
      </c>
      <c r="Q331" t="s">
        <v>32</v>
      </c>
      <c r="R331" t="s">
        <v>1270</v>
      </c>
      <c r="S331" t="s">
        <v>35</v>
      </c>
      <c r="T331" t="s">
        <v>36</v>
      </c>
      <c r="W331" t="s">
        <v>37</v>
      </c>
    </row>
    <row r="332" spans="1:23" x14ac:dyDescent="0.3">
      <c r="A332" t="s">
        <v>1558</v>
      </c>
      <c r="B332" t="s">
        <v>898</v>
      </c>
      <c r="C332" t="s">
        <v>1559</v>
      </c>
      <c r="D332" t="s">
        <v>26</v>
      </c>
      <c r="E332" t="s">
        <v>1560</v>
      </c>
      <c r="F332" t="s">
        <v>42</v>
      </c>
      <c r="G332" t="s">
        <v>1561</v>
      </c>
      <c r="H332">
        <v>3499</v>
      </c>
      <c r="I332">
        <v>1</v>
      </c>
      <c r="J332">
        <v>3499</v>
      </c>
      <c r="K332" t="s">
        <v>1101</v>
      </c>
      <c r="L332">
        <v>20</v>
      </c>
      <c r="M332" t="s">
        <v>45</v>
      </c>
      <c r="N332" t="s">
        <v>31</v>
      </c>
      <c r="O332" t="s">
        <v>238</v>
      </c>
      <c r="P332" t="s">
        <v>109</v>
      </c>
      <c r="Q332" t="s">
        <v>32</v>
      </c>
      <c r="R332" t="s">
        <v>1252</v>
      </c>
      <c r="S332" t="s">
        <v>35</v>
      </c>
      <c r="T332" t="s">
        <v>49</v>
      </c>
      <c r="U332" t="s">
        <v>50</v>
      </c>
      <c r="V332" t="s">
        <v>1562</v>
      </c>
      <c r="W332" t="s">
        <v>52</v>
      </c>
    </row>
    <row r="333" spans="1:23" x14ac:dyDescent="0.3">
      <c r="A333" t="s">
        <v>1563</v>
      </c>
      <c r="B333" t="s">
        <v>898</v>
      </c>
      <c r="C333" t="s">
        <v>1564</v>
      </c>
      <c r="D333" t="s">
        <v>26</v>
      </c>
      <c r="E333" t="s">
        <v>1565</v>
      </c>
      <c r="F333" t="s">
        <v>58</v>
      </c>
      <c r="G333" t="s">
        <v>1566</v>
      </c>
      <c r="H333">
        <v>1799</v>
      </c>
      <c r="I333">
        <v>1</v>
      </c>
      <c r="J333">
        <v>1799</v>
      </c>
      <c r="L333">
        <v>0</v>
      </c>
      <c r="M333" t="s">
        <v>30</v>
      </c>
      <c r="N333" t="s">
        <v>46</v>
      </c>
      <c r="O333" t="s">
        <v>243</v>
      </c>
      <c r="P333" t="s">
        <v>130</v>
      </c>
      <c r="Q333" t="s">
        <v>47</v>
      </c>
      <c r="R333" t="s">
        <v>1252</v>
      </c>
      <c r="S333" t="s">
        <v>35</v>
      </c>
      <c r="T333" t="s">
        <v>36</v>
      </c>
      <c r="W333" t="s">
        <v>37</v>
      </c>
    </row>
    <row r="334" spans="1:23" x14ac:dyDescent="0.3">
      <c r="A334" t="s">
        <v>1567</v>
      </c>
      <c r="B334" t="s">
        <v>898</v>
      </c>
      <c r="C334" t="s">
        <v>1568</v>
      </c>
      <c r="D334" t="s">
        <v>26</v>
      </c>
      <c r="E334" t="s">
        <v>1569</v>
      </c>
      <c r="F334" t="s">
        <v>67</v>
      </c>
      <c r="G334" t="s">
        <v>1570</v>
      </c>
      <c r="H334">
        <v>4599</v>
      </c>
      <c r="I334">
        <v>1</v>
      </c>
      <c r="J334">
        <v>4599</v>
      </c>
      <c r="L334">
        <v>0</v>
      </c>
      <c r="M334" t="s">
        <v>60</v>
      </c>
      <c r="N334" t="s">
        <v>71</v>
      </c>
      <c r="O334" t="s">
        <v>32</v>
      </c>
      <c r="P334" t="s">
        <v>33</v>
      </c>
      <c r="Q334" t="s">
        <v>32</v>
      </c>
      <c r="R334" t="s">
        <v>1261</v>
      </c>
      <c r="S334" t="s">
        <v>35</v>
      </c>
      <c r="T334" t="s">
        <v>49</v>
      </c>
      <c r="U334" t="s">
        <v>119</v>
      </c>
      <c r="V334" t="s">
        <v>1571</v>
      </c>
      <c r="W334" t="s">
        <v>52</v>
      </c>
    </row>
    <row r="335" spans="1:23" x14ac:dyDescent="0.3">
      <c r="A335" t="s">
        <v>1572</v>
      </c>
      <c r="B335" t="s">
        <v>884</v>
      </c>
      <c r="C335" t="s">
        <v>1573</v>
      </c>
      <c r="D335" t="s">
        <v>40</v>
      </c>
      <c r="E335" t="s">
        <v>1574</v>
      </c>
      <c r="F335" t="s">
        <v>79</v>
      </c>
      <c r="G335" t="s">
        <v>1575</v>
      </c>
      <c r="H335">
        <v>799</v>
      </c>
      <c r="I335">
        <v>1</v>
      </c>
      <c r="J335">
        <v>799</v>
      </c>
      <c r="K335" t="s">
        <v>1101</v>
      </c>
      <c r="L335">
        <v>20</v>
      </c>
      <c r="M335" t="s">
        <v>128</v>
      </c>
      <c r="N335" t="s">
        <v>31</v>
      </c>
      <c r="O335" t="s">
        <v>47</v>
      </c>
      <c r="P335" t="s">
        <v>47</v>
      </c>
      <c r="Q335" t="s">
        <v>47</v>
      </c>
      <c r="R335" t="s">
        <v>1252</v>
      </c>
      <c r="S335" t="s">
        <v>35</v>
      </c>
      <c r="T335" t="s">
        <v>36</v>
      </c>
      <c r="W335" t="s">
        <v>37</v>
      </c>
    </row>
    <row r="336" spans="1:23" x14ac:dyDescent="0.3">
      <c r="A336" t="s">
        <v>1576</v>
      </c>
      <c r="B336" t="s">
        <v>884</v>
      </c>
      <c r="C336" t="s">
        <v>1577</v>
      </c>
      <c r="D336" t="s">
        <v>26</v>
      </c>
      <c r="E336" t="s">
        <v>1578</v>
      </c>
      <c r="F336" t="s">
        <v>28</v>
      </c>
      <c r="G336" t="s">
        <v>1579</v>
      </c>
      <c r="H336">
        <v>1899</v>
      </c>
      <c r="I336">
        <v>1</v>
      </c>
      <c r="J336">
        <v>1899</v>
      </c>
      <c r="L336">
        <v>0</v>
      </c>
      <c r="M336" t="s">
        <v>70</v>
      </c>
      <c r="N336" t="s">
        <v>46</v>
      </c>
      <c r="O336" t="s">
        <v>101</v>
      </c>
      <c r="P336" t="s">
        <v>102</v>
      </c>
      <c r="Q336" t="s">
        <v>47</v>
      </c>
      <c r="R336" t="s">
        <v>1261</v>
      </c>
      <c r="S336" t="s">
        <v>35</v>
      </c>
      <c r="T336" t="s">
        <v>49</v>
      </c>
      <c r="U336" t="s">
        <v>158</v>
      </c>
      <c r="V336" t="s">
        <v>1562</v>
      </c>
      <c r="W336" t="s">
        <v>52</v>
      </c>
    </row>
    <row r="337" spans="1:23" x14ac:dyDescent="0.3">
      <c r="A337" t="s">
        <v>1580</v>
      </c>
      <c r="B337" t="s">
        <v>884</v>
      </c>
      <c r="C337" t="s">
        <v>1581</v>
      </c>
      <c r="D337" t="s">
        <v>26</v>
      </c>
      <c r="E337" t="s">
        <v>1582</v>
      </c>
      <c r="F337" t="s">
        <v>42</v>
      </c>
      <c r="G337" t="s">
        <v>1583</v>
      </c>
      <c r="H337">
        <v>4099</v>
      </c>
      <c r="I337">
        <v>1</v>
      </c>
      <c r="J337">
        <v>4099</v>
      </c>
      <c r="L337">
        <v>0</v>
      </c>
      <c r="M337" t="s">
        <v>45</v>
      </c>
      <c r="N337" t="s">
        <v>71</v>
      </c>
      <c r="O337" t="s">
        <v>72</v>
      </c>
      <c r="P337" t="s">
        <v>73</v>
      </c>
      <c r="Q337" t="s">
        <v>61</v>
      </c>
      <c r="R337" t="s">
        <v>1279</v>
      </c>
      <c r="S337" t="s">
        <v>35</v>
      </c>
      <c r="T337" t="s">
        <v>49</v>
      </c>
      <c r="U337" t="s">
        <v>50</v>
      </c>
      <c r="V337" t="s">
        <v>1584</v>
      </c>
      <c r="W337" t="s">
        <v>52</v>
      </c>
    </row>
    <row r="338" spans="1:23" x14ac:dyDescent="0.3">
      <c r="A338" t="s">
        <v>1585</v>
      </c>
      <c r="B338" t="s">
        <v>884</v>
      </c>
      <c r="C338" t="s">
        <v>1586</v>
      </c>
      <c r="D338" t="s">
        <v>26</v>
      </c>
      <c r="E338" t="s">
        <v>1587</v>
      </c>
      <c r="F338" t="s">
        <v>58</v>
      </c>
      <c r="G338" t="s">
        <v>1588</v>
      </c>
      <c r="H338">
        <v>2299</v>
      </c>
      <c r="I338">
        <v>1</v>
      </c>
      <c r="J338">
        <v>2299</v>
      </c>
      <c r="K338" t="s">
        <v>1101</v>
      </c>
      <c r="L338">
        <v>20</v>
      </c>
      <c r="M338" t="s">
        <v>30</v>
      </c>
      <c r="N338" t="s">
        <v>31</v>
      </c>
      <c r="O338" t="s">
        <v>86</v>
      </c>
      <c r="P338" t="s">
        <v>87</v>
      </c>
      <c r="Q338" t="s">
        <v>61</v>
      </c>
      <c r="R338" t="s">
        <v>1279</v>
      </c>
      <c r="S338" t="s">
        <v>35</v>
      </c>
      <c r="T338" t="s">
        <v>36</v>
      </c>
      <c r="W338" t="s">
        <v>37</v>
      </c>
    </row>
    <row r="339" spans="1:23" x14ac:dyDescent="0.3">
      <c r="A339" t="s">
        <v>1589</v>
      </c>
      <c r="B339" t="s">
        <v>893</v>
      </c>
      <c r="C339" t="s">
        <v>1590</v>
      </c>
      <c r="D339" t="s">
        <v>26</v>
      </c>
      <c r="E339" t="s">
        <v>1591</v>
      </c>
      <c r="F339" t="s">
        <v>67</v>
      </c>
      <c r="G339" t="s">
        <v>1592</v>
      </c>
      <c r="H339">
        <v>5799</v>
      </c>
      <c r="I339">
        <v>1</v>
      </c>
      <c r="J339">
        <v>5799</v>
      </c>
      <c r="L339">
        <v>0</v>
      </c>
      <c r="M339" t="s">
        <v>60</v>
      </c>
      <c r="N339" t="s">
        <v>46</v>
      </c>
      <c r="O339" t="s">
        <v>95</v>
      </c>
      <c r="P339" t="s">
        <v>33</v>
      </c>
      <c r="Q339" t="s">
        <v>32</v>
      </c>
      <c r="R339" t="s">
        <v>1284</v>
      </c>
      <c r="S339" t="s">
        <v>35</v>
      </c>
      <c r="T339" t="s">
        <v>49</v>
      </c>
      <c r="U339" t="s">
        <v>89</v>
      </c>
      <c r="V339" t="s">
        <v>1593</v>
      </c>
      <c r="W339" t="s">
        <v>52</v>
      </c>
    </row>
    <row r="340" spans="1:23" x14ac:dyDescent="0.3">
      <c r="A340" t="s">
        <v>1594</v>
      </c>
      <c r="B340" t="s">
        <v>893</v>
      </c>
      <c r="C340" t="s">
        <v>1595</v>
      </c>
      <c r="D340" t="s">
        <v>40</v>
      </c>
      <c r="E340" t="s">
        <v>1596</v>
      </c>
      <c r="F340" t="s">
        <v>79</v>
      </c>
      <c r="G340" t="s">
        <v>1597</v>
      </c>
      <c r="H340">
        <v>699</v>
      </c>
      <c r="I340">
        <v>2</v>
      </c>
      <c r="J340">
        <v>1398</v>
      </c>
      <c r="L340">
        <v>0</v>
      </c>
      <c r="M340" t="s">
        <v>128</v>
      </c>
      <c r="N340" t="s">
        <v>71</v>
      </c>
      <c r="O340" t="s">
        <v>108</v>
      </c>
      <c r="P340" t="s">
        <v>109</v>
      </c>
      <c r="Q340" t="s">
        <v>32</v>
      </c>
      <c r="R340" t="s">
        <v>1279</v>
      </c>
      <c r="S340" t="s">
        <v>35</v>
      </c>
      <c r="T340" t="s">
        <v>49</v>
      </c>
      <c r="U340" t="s">
        <v>75</v>
      </c>
      <c r="V340" t="s">
        <v>1571</v>
      </c>
      <c r="W340" t="s">
        <v>52</v>
      </c>
    </row>
    <row r="341" spans="1:23" x14ac:dyDescent="0.3">
      <c r="A341" t="s">
        <v>1598</v>
      </c>
      <c r="B341" t="s">
        <v>893</v>
      </c>
      <c r="C341" t="s">
        <v>1599</v>
      </c>
      <c r="D341" t="s">
        <v>26</v>
      </c>
      <c r="E341" t="s">
        <v>1600</v>
      </c>
      <c r="F341" t="s">
        <v>28</v>
      </c>
      <c r="G341" t="s">
        <v>1601</v>
      </c>
      <c r="H341">
        <v>1999</v>
      </c>
      <c r="I341">
        <v>1</v>
      </c>
      <c r="J341">
        <v>1999</v>
      </c>
      <c r="K341" t="s">
        <v>1101</v>
      </c>
      <c r="L341">
        <v>20</v>
      </c>
      <c r="M341" t="s">
        <v>70</v>
      </c>
      <c r="N341" t="s">
        <v>31</v>
      </c>
      <c r="O341" t="s">
        <v>116</v>
      </c>
      <c r="P341" t="s">
        <v>117</v>
      </c>
      <c r="Q341" t="s">
        <v>47</v>
      </c>
      <c r="R341" t="s">
        <v>1284</v>
      </c>
      <c r="S341" t="s">
        <v>35</v>
      </c>
      <c r="T341" t="s">
        <v>36</v>
      </c>
      <c r="W341" t="s">
        <v>37</v>
      </c>
    </row>
    <row r="342" spans="1:23" x14ac:dyDescent="0.3">
      <c r="A342" t="s">
        <v>1602</v>
      </c>
      <c r="B342" t="s">
        <v>893</v>
      </c>
      <c r="C342" t="s">
        <v>1599</v>
      </c>
      <c r="D342" t="s">
        <v>26</v>
      </c>
      <c r="E342" t="s">
        <v>1603</v>
      </c>
      <c r="F342" t="s">
        <v>42</v>
      </c>
      <c r="G342" t="s">
        <v>1604</v>
      </c>
      <c r="H342">
        <v>3899</v>
      </c>
      <c r="I342">
        <v>1</v>
      </c>
      <c r="J342">
        <v>3899</v>
      </c>
      <c r="L342">
        <v>0</v>
      </c>
      <c r="M342" t="s">
        <v>45</v>
      </c>
      <c r="N342" t="s">
        <v>46</v>
      </c>
      <c r="O342" t="s">
        <v>129</v>
      </c>
      <c r="P342" t="s">
        <v>130</v>
      </c>
      <c r="Q342" t="s">
        <v>47</v>
      </c>
      <c r="R342" t="s">
        <v>1301</v>
      </c>
      <c r="S342" t="s">
        <v>35</v>
      </c>
      <c r="T342" t="s">
        <v>49</v>
      </c>
      <c r="U342" t="s">
        <v>50</v>
      </c>
      <c r="V342" t="s">
        <v>1605</v>
      </c>
      <c r="W342" t="s">
        <v>52</v>
      </c>
    </row>
    <row r="343" spans="1:23" x14ac:dyDescent="0.3">
      <c r="A343" t="s">
        <v>1606</v>
      </c>
      <c r="B343" t="s">
        <v>907</v>
      </c>
      <c r="C343" t="s">
        <v>1607</v>
      </c>
      <c r="D343" t="s">
        <v>26</v>
      </c>
      <c r="E343" t="s">
        <v>1608</v>
      </c>
      <c r="F343" t="s">
        <v>58</v>
      </c>
      <c r="G343" t="s">
        <v>1609</v>
      </c>
      <c r="H343">
        <v>2099</v>
      </c>
      <c r="I343">
        <v>1</v>
      </c>
      <c r="J343">
        <v>2099</v>
      </c>
      <c r="L343">
        <v>0</v>
      </c>
      <c r="M343" t="s">
        <v>30</v>
      </c>
      <c r="N343" t="s">
        <v>71</v>
      </c>
      <c r="O343" t="s">
        <v>61</v>
      </c>
      <c r="P343" t="s">
        <v>62</v>
      </c>
      <c r="Q343" t="s">
        <v>61</v>
      </c>
      <c r="R343" t="s">
        <v>1301</v>
      </c>
      <c r="S343" t="s">
        <v>35</v>
      </c>
      <c r="T343" t="s">
        <v>36</v>
      </c>
      <c r="W343" t="s">
        <v>37</v>
      </c>
    </row>
    <row r="344" spans="1:23" x14ac:dyDescent="0.3">
      <c r="A344" t="s">
        <v>1610</v>
      </c>
      <c r="B344" t="s">
        <v>907</v>
      </c>
      <c r="C344" t="s">
        <v>1611</v>
      </c>
      <c r="D344" t="s">
        <v>26</v>
      </c>
      <c r="E344" t="s">
        <v>1612</v>
      </c>
      <c r="F344" t="s">
        <v>67</v>
      </c>
      <c r="G344" t="s">
        <v>1613</v>
      </c>
      <c r="H344">
        <v>4899</v>
      </c>
      <c r="I344">
        <v>1</v>
      </c>
      <c r="J344">
        <v>4899</v>
      </c>
      <c r="K344" t="s">
        <v>1101</v>
      </c>
      <c r="L344">
        <v>20</v>
      </c>
      <c r="M344" t="s">
        <v>60</v>
      </c>
      <c r="N344" t="s">
        <v>31</v>
      </c>
      <c r="O344" t="s">
        <v>32</v>
      </c>
      <c r="P344" t="s">
        <v>33</v>
      </c>
      <c r="Q344" t="s">
        <v>32</v>
      </c>
      <c r="R344" t="s">
        <v>1314</v>
      </c>
      <c r="S344" t="s">
        <v>35</v>
      </c>
      <c r="T344" t="s">
        <v>49</v>
      </c>
      <c r="U344" t="s">
        <v>119</v>
      </c>
      <c r="V344" t="s">
        <v>1614</v>
      </c>
      <c r="W344" t="s">
        <v>52</v>
      </c>
    </row>
    <row r="345" spans="1:23" x14ac:dyDescent="0.3">
      <c r="A345" t="s">
        <v>1615</v>
      </c>
      <c r="B345" t="s">
        <v>907</v>
      </c>
      <c r="C345" t="s">
        <v>1616</v>
      </c>
      <c r="D345" t="s">
        <v>40</v>
      </c>
      <c r="E345" t="s">
        <v>1617</v>
      </c>
      <c r="F345" t="s">
        <v>79</v>
      </c>
      <c r="G345" t="s">
        <v>1618</v>
      </c>
      <c r="H345">
        <v>599</v>
      </c>
      <c r="I345">
        <v>3</v>
      </c>
      <c r="J345">
        <v>1797</v>
      </c>
      <c r="L345">
        <v>0</v>
      </c>
      <c r="M345" t="s">
        <v>128</v>
      </c>
      <c r="N345" t="s">
        <v>46</v>
      </c>
      <c r="O345" t="s">
        <v>47</v>
      </c>
      <c r="P345" t="s">
        <v>47</v>
      </c>
      <c r="Q345" t="s">
        <v>47</v>
      </c>
      <c r="R345" t="s">
        <v>1301</v>
      </c>
      <c r="S345" t="s">
        <v>35</v>
      </c>
      <c r="T345" t="s">
        <v>36</v>
      </c>
      <c r="W345" t="s">
        <v>37</v>
      </c>
    </row>
    <row r="346" spans="1:23" x14ac:dyDescent="0.3">
      <c r="A346" t="s">
        <v>1619</v>
      </c>
      <c r="B346" t="s">
        <v>907</v>
      </c>
      <c r="C346" t="s">
        <v>1620</v>
      </c>
      <c r="D346" t="s">
        <v>26</v>
      </c>
      <c r="E346" t="s">
        <v>1621</v>
      </c>
      <c r="F346" t="s">
        <v>28</v>
      </c>
      <c r="G346" t="s">
        <v>1622</v>
      </c>
      <c r="H346">
        <v>2199</v>
      </c>
      <c r="I346">
        <v>1</v>
      </c>
      <c r="J346">
        <v>2199</v>
      </c>
      <c r="L346">
        <v>0</v>
      </c>
      <c r="M346" t="s">
        <v>70</v>
      </c>
      <c r="N346" t="s">
        <v>71</v>
      </c>
      <c r="O346" t="s">
        <v>135</v>
      </c>
      <c r="P346" t="s">
        <v>136</v>
      </c>
      <c r="Q346" t="s">
        <v>47</v>
      </c>
      <c r="R346" t="s">
        <v>1314</v>
      </c>
      <c r="S346" t="s">
        <v>35</v>
      </c>
      <c r="T346" t="s">
        <v>49</v>
      </c>
      <c r="U346" t="s">
        <v>158</v>
      </c>
      <c r="V346" t="s">
        <v>1605</v>
      </c>
      <c r="W346" t="s">
        <v>52</v>
      </c>
    </row>
    <row r="347" spans="1:23" x14ac:dyDescent="0.3">
      <c r="A347" t="s">
        <v>1623</v>
      </c>
      <c r="B347" t="s">
        <v>916</v>
      </c>
      <c r="C347" t="s">
        <v>1624</v>
      </c>
      <c r="D347" t="s">
        <v>26</v>
      </c>
      <c r="E347" t="s">
        <v>1625</v>
      </c>
      <c r="F347" t="s">
        <v>42</v>
      </c>
      <c r="G347" t="s">
        <v>1274</v>
      </c>
      <c r="H347">
        <v>4499</v>
      </c>
      <c r="I347">
        <v>1</v>
      </c>
      <c r="J347">
        <v>4499</v>
      </c>
      <c r="K347" t="s">
        <v>1101</v>
      </c>
      <c r="L347">
        <v>20</v>
      </c>
      <c r="M347" t="s">
        <v>45</v>
      </c>
      <c r="N347" t="s">
        <v>31</v>
      </c>
      <c r="O347" t="s">
        <v>156</v>
      </c>
      <c r="P347" t="s">
        <v>130</v>
      </c>
      <c r="Q347" t="s">
        <v>47</v>
      </c>
      <c r="R347" t="s">
        <v>1319</v>
      </c>
      <c r="S347" t="s">
        <v>35</v>
      </c>
      <c r="T347" t="s">
        <v>49</v>
      </c>
      <c r="U347" t="s">
        <v>50</v>
      </c>
      <c r="V347" t="s">
        <v>1626</v>
      </c>
      <c r="W347"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DC4A-155D-4D1C-A376-18230BD1AB91}">
  <dimension ref="A1:AE347"/>
  <sheetViews>
    <sheetView workbookViewId="0">
      <selection activeCell="B15" sqref="B15"/>
    </sheetView>
  </sheetViews>
  <sheetFormatPr defaultRowHeight="14.4" x14ac:dyDescent="0.3"/>
  <cols>
    <col min="1" max="1" width="10.21875" bestFit="1" customWidth="1"/>
    <col min="2" max="2" width="12.33203125" bestFit="1" customWidth="1"/>
    <col min="3" max="3" width="26.109375" bestFit="1" customWidth="1"/>
    <col min="4" max="4" width="13.5546875" bestFit="1" customWidth="1"/>
    <col min="5" max="5" width="8.77734375" bestFit="1" customWidth="1"/>
    <col min="6" max="6" width="14.33203125" bestFit="1" customWidth="1"/>
    <col min="7" max="7" width="10.77734375" bestFit="1" customWidth="1"/>
    <col min="8" max="8" width="21.6640625" bestFit="1" customWidth="1"/>
    <col min="9" max="9" width="11.33203125" bestFit="1" customWidth="1"/>
    <col min="10" max="10" width="6.21875" bestFit="1" customWidth="1"/>
    <col min="11" max="11" width="26.21875" bestFit="1" customWidth="1"/>
    <col min="12" max="12" width="7.44140625" bestFit="1" customWidth="1"/>
    <col min="13" max="13" width="27.109375" bestFit="1" customWidth="1"/>
    <col min="14" max="14" width="15.44140625" bestFit="1" customWidth="1"/>
    <col min="15" max="15" width="8.44140625" bestFit="1" customWidth="1"/>
    <col min="16" max="16" width="18.5546875" bestFit="1" customWidth="1"/>
    <col min="17" max="17" width="10.77734375" bestFit="1" customWidth="1"/>
    <col min="18" max="18" width="13.6640625" bestFit="1" customWidth="1"/>
    <col min="19" max="19" width="18.109375" bestFit="1" customWidth="1"/>
    <col min="20" max="20" width="15.5546875" bestFit="1" customWidth="1"/>
    <col min="21" max="21" width="12.77734375" bestFit="1" customWidth="1"/>
    <col min="22" max="22" width="14.33203125" bestFit="1" customWidth="1"/>
    <col min="23" max="23" width="24.77734375" bestFit="1" customWidth="1"/>
    <col min="24" max="24" width="25" bestFit="1" customWidth="1"/>
    <col min="25" max="25" width="8.88671875" bestFit="1" customWidth="1"/>
    <col min="26" max="26" width="9.77734375" bestFit="1" customWidth="1"/>
    <col min="27" max="27" width="16.6640625" bestFit="1" customWidth="1"/>
    <col min="28" max="28" width="17" bestFit="1" customWidth="1"/>
    <col min="29" max="29" width="23.6640625" bestFit="1" customWidth="1"/>
    <col min="30" max="30" width="26.77734375" bestFit="1" customWidth="1"/>
    <col min="31" max="31" width="12.88671875" bestFit="1" customWidth="1"/>
    <col min="32" max="32" width="10.21875" customWidth="1"/>
    <col min="33" max="33" width="10.33203125" bestFit="1" customWidth="1"/>
    <col min="34" max="34" width="12.88671875" bestFit="1" customWidth="1"/>
  </cols>
  <sheetData>
    <row r="1" spans="1:31" x14ac:dyDescent="0.3">
      <c r="A1" t="s">
        <v>0</v>
      </c>
      <c r="B1" t="s">
        <v>1</v>
      </c>
      <c r="C1" t="s">
        <v>1635</v>
      </c>
      <c r="D1" t="s">
        <v>2</v>
      </c>
      <c r="E1" t="s">
        <v>3</v>
      </c>
      <c r="F1" t="s">
        <v>1636</v>
      </c>
      <c r="G1" t="s">
        <v>5</v>
      </c>
      <c r="H1" t="s">
        <v>6</v>
      </c>
      <c r="I1" t="s">
        <v>7</v>
      </c>
      <c r="J1" t="s">
        <v>8</v>
      </c>
      <c r="K1" t="s">
        <v>1637</v>
      </c>
      <c r="L1" t="s">
        <v>9</v>
      </c>
      <c r="M1" t="s">
        <v>1638</v>
      </c>
      <c r="N1" t="s">
        <v>10</v>
      </c>
      <c r="O1" t="s">
        <v>11</v>
      </c>
      <c r="P1" t="s">
        <v>1639</v>
      </c>
      <c r="Q1" t="s">
        <v>12</v>
      </c>
      <c r="R1" t="s">
        <v>13</v>
      </c>
      <c r="S1" t="s">
        <v>14</v>
      </c>
      <c r="T1" t="s">
        <v>15</v>
      </c>
      <c r="U1" t="s">
        <v>16</v>
      </c>
      <c r="V1" t="s">
        <v>1640</v>
      </c>
      <c r="W1" t="s">
        <v>1641</v>
      </c>
      <c r="X1" t="s">
        <v>1644</v>
      </c>
      <c r="Y1" t="s">
        <v>18</v>
      </c>
      <c r="Z1" t="s">
        <v>19</v>
      </c>
      <c r="AA1" t="s">
        <v>20</v>
      </c>
      <c r="AB1" t="s">
        <v>1642</v>
      </c>
      <c r="AC1" t="s">
        <v>1643</v>
      </c>
      <c r="AD1" t="s">
        <v>1645</v>
      </c>
      <c r="AE1" t="s">
        <v>22</v>
      </c>
    </row>
    <row r="2" spans="1:31" s="5" customFormat="1" x14ac:dyDescent="0.3">
      <c r="A2" s="5" t="s">
        <v>23</v>
      </c>
      <c r="B2" s="6">
        <v>45566</v>
      </c>
      <c r="C2" s="5" t="s">
        <v>1646</v>
      </c>
      <c r="D2" s="8" t="s">
        <v>25</v>
      </c>
      <c r="E2" s="5" t="s">
        <v>26</v>
      </c>
      <c r="F2" s="5" t="s">
        <v>27</v>
      </c>
      <c r="G2" s="5" t="s">
        <v>28</v>
      </c>
      <c r="H2" s="5" t="s">
        <v>29</v>
      </c>
      <c r="I2" s="5">
        <v>1299</v>
      </c>
      <c r="J2" s="5">
        <v>2</v>
      </c>
      <c r="K2" s="5" t="s">
        <v>1647</v>
      </c>
      <c r="L2" s="5">
        <v>2598</v>
      </c>
      <c r="M2" s="5">
        <v>2598</v>
      </c>
      <c r="O2" s="5">
        <v>0</v>
      </c>
      <c r="P2" s="5">
        <v>0</v>
      </c>
      <c r="Q2" s="5" t="s">
        <v>30</v>
      </c>
      <c r="R2" s="5" t="s">
        <v>31</v>
      </c>
      <c r="S2" s="5" t="s">
        <v>32</v>
      </c>
      <c r="T2" s="5" t="s">
        <v>33</v>
      </c>
      <c r="U2" s="5" t="s">
        <v>32</v>
      </c>
      <c r="V2" s="6">
        <v>45570</v>
      </c>
      <c r="W2" s="5" t="s">
        <v>1648</v>
      </c>
      <c r="X2" s="5" t="s">
        <v>1650</v>
      </c>
      <c r="Y2" s="5" t="s">
        <v>35</v>
      </c>
      <c r="Z2" s="5" t="s">
        <v>36</v>
      </c>
      <c r="AB2" s="6"/>
      <c r="AC2" s="5" t="s">
        <v>1649</v>
      </c>
      <c r="AD2" s="5" t="s">
        <v>1651</v>
      </c>
      <c r="AE2" s="5" t="s">
        <v>37</v>
      </c>
    </row>
    <row r="3" spans="1:31" x14ac:dyDescent="0.3">
      <c r="A3" t="s">
        <v>38</v>
      </c>
      <c r="B3" s="4">
        <v>45566</v>
      </c>
      <c r="C3" t="s">
        <v>1646</v>
      </c>
      <c r="D3" t="s">
        <v>39</v>
      </c>
      <c r="E3" t="s">
        <v>40</v>
      </c>
      <c r="F3" t="s">
        <v>41</v>
      </c>
      <c r="G3" t="s">
        <v>42</v>
      </c>
      <c r="H3" t="s">
        <v>43</v>
      </c>
      <c r="I3">
        <v>2499</v>
      </c>
      <c r="J3">
        <v>1</v>
      </c>
      <c r="K3" t="s">
        <v>1647</v>
      </c>
      <c r="L3">
        <v>2499</v>
      </c>
      <c r="M3">
        <v>1999.2</v>
      </c>
      <c r="N3" t="s">
        <v>44</v>
      </c>
      <c r="O3">
        <v>20</v>
      </c>
      <c r="P3">
        <v>499.8</v>
      </c>
      <c r="Q3" t="s">
        <v>45</v>
      </c>
      <c r="R3" t="s">
        <v>46</v>
      </c>
      <c r="S3" t="s">
        <v>47</v>
      </c>
      <c r="T3" t="s">
        <v>47</v>
      </c>
      <c r="U3" t="s">
        <v>47</v>
      </c>
      <c r="V3" s="4">
        <v>45569</v>
      </c>
      <c r="W3" t="s">
        <v>1648</v>
      </c>
      <c r="X3" t="s">
        <v>1650</v>
      </c>
      <c r="Y3" t="s">
        <v>35</v>
      </c>
      <c r="Z3" t="s">
        <v>49</v>
      </c>
      <c r="AA3" t="s">
        <v>50</v>
      </c>
      <c r="AB3" s="4">
        <v>45580</v>
      </c>
      <c r="AC3" t="s">
        <v>1652</v>
      </c>
      <c r="AD3" t="s">
        <v>1653</v>
      </c>
      <c r="AE3" t="s">
        <v>52</v>
      </c>
    </row>
    <row r="4" spans="1:31" s="5" customFormat="1" x14ac:dyDescent="0.3">
      <c r="A4" s="5" t="s">
        <v>53</v>
      </c>
      <c r="B4" s="7">
        <v>45301</v>
      </c>
      <c r="C4" s="5" t="s">
        <v>1654</v>
      </c>
      <c r="D4" s="5" t="s">
        <v>55</v>
      </c>
      <c r="E4" s="5" t="s">
        <v>26</v>
      </c>
      <c r="F4" s="5" t="s">
        <v>57</v>
      </c>
      <c r="G4" s="5" t="s">
        <v>58</v>
      </c>
      <c r="H4" s="5" t="s">
        <v>59</v>
      </c>
      <c r="I4" s="5">
        <v>1899</v>
      </c>
      <c r="J4" s="5">
        <v>1</v>
      </c>
      <c r="K4" s="5" t="s">
        <v>1647</v>
      </c>
      <c r="L4" s="5">
        <v>1899</v>
      </c>
      <c r="M4" s="5">
        <v>1899</v>
      </c>
      <c r="O4" s="5">
        <v>0</v>
      </c>
      <c r="P4" s="5">
        <v>0</v>
      </c>
      <c r="Q4" s="5" t="s">
        <v>60</v>
      </c>
      <c r="R4" s="5" t="s">
        <v>31</v>
      </c>
      <c r="S4" s="5" t="s">
        <v>61</v>
      </c>
      <c r="T4" s="5" t="s">
        <v>62</v>
      </c>
      <c r="U4" s="5" t="s">
        <v>61</v>
      </c>
      <c r="V4" s="6">
        <v>45571</v>
      </c>
      <c r="W4" s="5" t="s">
        <v>1648</v>
      </c>
      <c r="X4" s="5" t="s">
        <v>1655</v>
      </c>
      <c r="Y4" s="5" t="s">
        <v>35</v>
      </c>
      <c r="Z4" s="5" t="s">
        <v>36</v>
      </c>
      <c r="AB4" s="6"/>
      <c r="AC4" s="5" t="s">
        <v>1649</v>
      </c>
      <c r="AD4" s="5" t="s">
        <v>1651</v>
      </c>
      <c r="AE4" s="5" t="s">
        <v>37</v>
      </c>
    </row>
    <row r="5" spans="1:31" x14ac:dyDescent="0.3">
      <c r="A5" t="s">
        <v>64</v>
      </c>
      <c r="B5" s="4">
        <v>45566</v>
      </c>
      <c r="C5" t="s">
        <v>1646</v>
      </c>
      <c r="D5" t="s">
        <v>65</v>
      </c>
      <c r="E5" t="s">
        <v>26</v>
      </c>
      <c r="F5" t="s">
        <v>66</v>
      </c>
      <c r="G5" t="s">
        <v>67</v>
      </c>
      <c r="H5" t="s">
        <v>68</v>
      </c>
      <c r="I5">
        <v>3499</v>
      </c>
      <c r="J5">
        <v>1</v>
      </c>
      <c r="K5" t="s">
        <v>1647</v>
      </c>
      <c r="L5">
        <v>3499</v>
      </c>
      <c r="M5">
        <v>2974.15</v>
      </c>
      <c r="N5" t="s">
        <v>69</v>
      </c>
      <c r="O5">
        <v>15</v>
      </c>
      <c r="P5">
        <v>524.85</v>
      </c>
      <c r="Q5" t="s">
        <v>70</v>
      </c>
      <c r="R5" t="s">
        <v>71</v>
      </c>
      <c r="S5" t="s">
        <v>72</v>
      </c>
      <c r="T5" t="s">
        <v>73</v>
      </c>
      <c r="U5" t="s">
        <v>32</v>
      </c>
      <c r="V5" s="4">
        <v>45573</v>
      </c>
      <c r="W5" t="s">
        <v>1648</v>
      </c>
      <c r="X5" t="s">
        <v>1650</v>
      </c>
      <c r="Y5" t="s">
        <v>35</v>
      </c>
      <c r="Z5" t="s">
        <v>49</v>
      </c>
      <c r="AA5" t="s">
        <v>75</v>
      </c>
      <c r="AB5" s="4">
        <v>45585</v>
      </c>
      <c r="AC5" t="s">
        <v>1652</v>
      </c>
      <c r="AD5" t="s">
        <v>1653</v>
      </c>
      <c r="AE5" t="s">
        <v>52</v>
      </c>
    </row>
    <row r="6" spans="1:31" s="5" customFormat="1" x14ac:dyDescent="0.3">
      <c r="A6" s="5" t="s">
        <v>77</v>
      </c>
      <c r="B6" s="6">
        <v>45566</v>
      </c>
      <c r="C6" s="5" t="s">
        <v>1646</v>
      </c>
      <c r="D6" s="8" t="s">
        <v>25</v>
      </c>
      <c r="E6" s="5" t="s">
        <v>26</v>
      </c>
      <c r="F6" s="5" t="s">
        <v>78</v>
      </c>
      <c r="G6" s="5" t="s">
        <v>79</v>
      </c>
      <c r="H6" s="5" t="s">
        <v>80</v>
      </c>
      <c r="I6" s="5">
        <v>799</v>
      </c>
      <c r="J6" s="5">
        <v>3</v>
      </c>
      <c r="K6" s="5" t="s">
        <v>1647</v>
      </c>
      <c r="L6" s="5">
        <v>2397</v>
      </c>
      <c r="M6" s="5">
        <v>2397</v>
      </c>
      <c r="O6" s="5">
        <v>0</v>
      </c>
      <c r="P6" s="5">
        <v>0</v>
      </c>
      <c r="Q6" s="5" t="s">
        <v>30</v>
      </c>
      <c r="R6" s="5" t="s">
        <v>31</v>
      </c>
      <c r="S6" s="5" t="s">
        <v>32</v>
      </c>
      <c r="T6" s="5" t="s">
        <v>33</v>
      </c>
      <c r="U6" s="5" t="s">
        <v>32</v>
      </c>
      <c r="V6" s="6">
        <v>45571</v>
      </c>
      <c r="W6" s="5" t="s">
        <v>1648</v>
      </c>
      <c r="X6" s="5" t="s">
        <v>1650</v>
      </c>
      <c r="Y6" s="5" t="s">
        <v>35</v>
      </c>
      <c r="Z6" s="5" t="s">
        <v>36</v>
      </c>
      <c r="AB6" s="6"/>
      <c r="AC6" s="5" t="s">
        <v>1649</v>
      </c>
      <c r="AD6" s="5" t="s">
        <v>1651</v>
      </c>
      <c r="AE6" s="5" t="s">
        <v>37</v>
      </c>
    </row>
    <row r="7" spans="1:31" x14ac:dyDescent="0.3">
      <c r="A7" t="s">
        <v>81</v>
      </c>
      <c r="B7" s="4">
        <v>45567</v>
      </c>
      <c r="C7" t="s">
        <v>1646</v>
      </c>
      <c r="D7" t="s">
        <v>83</v>
      </c>
      <c r="E7" t="s">
        <v>40</v>
      </c>
      <c r="F7" t="s">
        <v>84</v>
      </c>
      <c r="G7" t="s">
        <v>28</v>
      </c>
      <c r="H7" t="s">
        <v>85</v>
      </c>
      <c r="I7">
        <v>1599</v>
      </c>
      <c r="J7">
        <v>2</v>
      </c>
      <c r="K7" t="s">
        <v>1647</v>
      </c>
      <c r="L7">
        <v>3198</v>
      </c>
      <c r="M7">
        <v>3198</v>
      </c>
      <c r="O7">
        <v>0</v>
      </c>
      <c r="P7">
        <v>0</v>
      </c>
      <c r="Q7" t="s">
        <v>45</v>
      </c>
      <c r="R7" t="s">
        <v>46</v>
      </c>
      <c r="S7" t="s">
        <v>86</v>
      </c>
      <c r="T7" t="s">
        <v>87</v>
      </c>
      <c r="U7" t="s">
        <v>61</v>
      </c>
      <c r="V7" s="4">
        <v>45572</v>
      </c>
      <c r="W7" t="s">
        <v>1648</v>
      </c>
      <c r="X7" t="s">
        <v>1650</v>
      </c>
      <c r="Y7" t="s">
        <v>35</v>
      </c>
      <c r="Z7" t="s">
        <v>49</v>
      </c>
      <c r="AA7" t="s">
        <v>89</v>
      </c>
      <c r="AB7" s="4">
        <v>45583</v>
      </c>
      <c r="AC7" t="s">
        <v>1652</v>
      </c>
      <c r="AD7" t="s">
        <v>1653</v>
      </c>
      <c r="AE7" t="s">
        <v>52</v>
      </c>
    </row>
    <row r="8" spans="1:31" x14ac:dyDescent="0.3">
      <c r="A8" t="s">
        <v>91</v>
      </c>
      <c r="B8" s="4">
        <v>45567</v>
      </c>
      <c r="C8" t="s">
        <v>1646</v>
      </c>
      <c r="D8" t="s">
        <v>92</v>
      </c>
      <c r="E8" t="s">
        <v>26</v>
      </c>
      <c r="F8" t="s">
        <v>93</v>
      </c>
      <c r="G8" t="s">
        <v>42</v>
      </c>
      <c r="H8" t="s">
        <v>94</v>
      </c>
      <c r="I8">
        <v>2199</v>
      </c>
      <c r="J8">
        <v>1</v>
      </c>
      <c r="K8" t="s">
        <v>1647</v>
      </c>
      <c r="L8">
        <v>2199</v>
      </c>
      <c r="M8">
        <v>1759.2</v>
      </c>
      <c r="N8" t="s">
        <v>44</v>
      </c>
      <c r="O8">
        <v>20</v>
      </c>
      <c r="P8">
        <v>439.8</v>
      </c>
      <c r="Q8" t="s">
        <v>60</v>
      </c>
      <c r="R8" t="s">
        <v>31</v>
      </c>
      <c r="S8" t="s">
        <v>95</v>
      </c>
      <c r="T8" t="s">
        <v>33</v>
      </c>
      <c r="U8" t="s">
        <v>32</v>
      </c>
      <c r="V8" s="4"/>
      <c r="W8" t="s">
        <v>1656</v>
      </c>
      <c r="X8" t="s">
        <v>1657</v>
      </c>
      <c r="Y8" t="s">
        <v>96</v>
      </c>
      <c r="Z8" t="s">
        <v>36</v>
      </c>
      <c r="AB8" s="4"/>
      <c r="AC8" t="s">
        <v>1656</v>
      </c>
      <c r="AD8" t="s">
        <v>1651</v>
      </c>
      <c r="AE8" t="s">
        <v>37</v>
      </c>
    </row>
    <row r="9" spans="1:31" x14ac:dyDescent="0.3">
      <c r="A9" t="s">
        <v>97</v>
      </c>
      <c r="B9" s="4">
        <v>45567</v>
      </c>
      <c r="C9" t="s">
        <v>1646</v>
      </c>
      <c r="D9" t="s">
        <v>98</v>
      </c>
      <c r="E9" t="s">
        <v>26</v>
      </c>
      <c r="F9" t="s">
        <v>99</v>
      </c>
      <c r="G9" t="s">
        <v>58</v>
      </c>
      <c r="H9" t="s">
        <v>100</v>
      </c>
      <c r="I9">
        <v>2299</v>
      </c>
      <c r="J9">
        <v>1</v>
      </c>
      <c r="K9" t="s">
        <v>1647</v>
      </c>
      <c r="L9">
        <v>2299</v>
      </c>
      <c r="M9">
        <v>2299</v>
      </c>
      <c r="O9">
        <v>0</v>
      </c>
      <c r="P9">
        <v>0</v>
      </c>
      <c r="Q9" t="s">
        <v>30</v>
      </c>
      <c r="R9" t="s">
        <v>46</v>
      </c>
      <c r="S9" t="s">
        <v>101</v>
      </c>
      <c r="T9" t="s">
        <v>102</v>
      </c>
      <c r="U9" t="s">
        <v>47</v>
      </c>
      <c r="V9" s="4">
        <v>45575</v>
      </c>
      <c r="W9" t="s">
        <v>1648</v>
      </c>
      <c r="X9" t="s">
        <v>1650</v>
      </c>
      <c r="Y9" t="s">
        <v>35</v>
      </c>
      <c r="Z9" t="s">
        <v>36</v>
      </c>
      <c r="AB9" s="4"/>
      <c r="AC9" t="s">
        <v>1649</v>
      </c>
      <c r="AD9" t="s">
        <v>1651</v>
      </c>
      <c r="AE9" t="s">
        <v>37</v>
      </c>
    </row>
    <row r="10" spans="1:31" x14ac:dyDescent="0.3">
      <c r="A10" t="s">
        <v>104</v>
      </c>
      <c r="B10" s="4">
        <v>45567</v>
      </c>
      <c r="C10" t="s">
        <v>1646</v>
      </c>
      <c r="D10" t="s">
        <v>105</v>
      </c>
      <c r="E10" t="s">
        <v>40</v>
      </c>
      <c r="F10" t="s">
        <v>106</v>
      </c>
      <c r="G10" t="s">
        <v>28</v>
      </c>
      <c r="H10" t="s">
        <v>107</v>
      </c>
      <c r="I10">
        <v>1399</v>
      </c>
      <c r="J10">
        <v>5</v>
      </c>
      <c r="K10" t="s">
        <v>1647</v>
      </c>
      <c r="L10">
        <v>6995</v>
      </c>
      <c r="M10">
        <v>6995</v>
      </c>
      <c r="O10">
        <v>0</v>
      </c>
      <c r="P10">
        <v>0</v>
      </c>
      <c r="Q10" t="s">
        <v>45</v>
      </c>
      <c r="R10" t="s">
        <v>31</v>
      </c>
      <c r="S10" t="s">
        <v>108</v>
      </c>
      <c r="T10" t="s">
        <v>109</v>
      </c>
      <c r="U10" t="s">
        <v>32</v>
      </c>
      <c r="V10" s="4">
        <v>45574</v>
      </c>
      <c r="W10" t="s">
        <v>1648</v>
      </c>
      <c r="X10" t="s">
        <v>1650</v>
      </c>
      <c r="Y10" t="s">
        <v>35</v>
      </c>
      <c r="Z10" t="s">
        <v>49</v>
      </c>
      <c r="AA10" t="s">
        <v>50</v>
      </c>
      <c r="AB10" s="4">
        <v>45587</v>
      </c>
      <c r="AC10" t="s">
        <v>1652</v>
      </c>
      <c r="AD10" t="s">
        <v>1653</v>
      </c>
      <c r="AE10" t="s">
        <v>52</v>
      </c>
    </row>
    <row r="11" spans="1:31" s="5" customFormat="1" x14ac:dyDescent="0.3">
      <c r="A11" s="5" t="s">
        <v>112</v>
      </c>
      <c r="B11" s="6">
        <v>45567</v>
      </c>
      <c r="C11" s="5" t="s">
        <v>1646</v>
      </c>
      <c r="D11" s="5" t="s">
        <v>113</v>
      </c>
      <c r="E11" s="5" t="s">
        <v>26</v>
      </c>
      <c r="F11" s="5" t="s">
        <v>114</v>
      </c>
      <c r="G11" s="5" t="s">
        <v>67</v>
      </c>
      <c r="H11" s="5" t="s">
        <v>115</v>
      </c>
      <c r="I11" s="5">
        <v>4999</v>
      </c>
      <c r="J11" s="8">
        <v>-1</v>
      </c>
      <c r="K11" s="5" t="s">
        <v>1658</v>
      </c>
      <c r="L11" s="5">
        <v>4999</v>
      </c>
      <c r="M11" s="8">
        <v>-4999</v>
      </c>
      <c r="O11" s="5">
        <v>0</v>
      </c>
      <c r="P11" s="5">
        <v>0</v>
      </c>
      <c r="Q11" s="5" t="s">
        <v>70</v>
      </c>
      <c r="R11" s="5" t="s">
        <v>71</v>
      </c>
      <c r="S11" s="5" t="s">
        <v>116</v>
      </c>
      <c r="T11" s="5" t="s">
        <v>117</v>
      </c>
      <c r="U11" s="5" t="s">
        <v>47</v>
      </c>
      <c r="V11" s="6">
        <v>45576</v>
      </c>
      <c r="W11" s="5" t="s">
        <v>1648</v>
      </c>
      <c r="X11" s="5" t="s">
        <v>1650</v>
      </c>
      <c r="Y11" s="5" t="s">
        <v>35</v>
      </c>
      <c r="Z11" s="5" t="s">
        <v>49</v>
      </c>
      <c r="AA11" s="5" t="s">
        <v>119</v>
      </c>
      <c r="AB11" s="6">
        <v>45590</v>
      </c>
      <c r="AC11" s="5" t="s">
        <v>1652</v>
      </c>
      <c r="AD11" s="5" t="s">
        <v>1653</v>
      </c>
      <c r="AE11" s="5" t="s">
        <v>121</v>
      </c>
    </row>
    <row r="12" spans="1:31" x14ac:dyDescent="0.3">
      <c r="A12" t="s">
        <v>122</v>
      </c>
      <c r="B12" s="4">
        <v>45568</v>
      </c>
      <c r="C12" t="s">
        <v>1646</v>
      </c>
      <c r="D12" t="s">
        <v>124</v>
      </c>
      <c r="E12" t="s">
        <v>26</v>
      </c>
      <c r="F12" t="s">
        <v>125</v>
      </c>
      <c r="G12" t="s">
        <v>79</v>
      </c>
      <c r="H12" t="s">
        <v>126</v>
      </c>
      <c r="I12">
        <v>1299</v>
      </c>
      <c r="J12">
        <v>2</v>
      </c>
      <c r="K12" t="s">
        <v>1647</v>
      </c>
      <c r="L12">
        <v>2598</v>
      </c>
      <c r="M12">
        <v>2338.1999999999998</v>
      </c>
      <c r="N12" t="s">
        <v>127</v>
      </c>
      <c r="O12">
        <v>10</v>
      </c>
      <c r="P12">
        <v>259.8</v>
      </c>
      <c r="Q12" t="s">
        <v>128</v>
      </c>
      <c r="R12" t="s">
        <v>31</v>
      </c>
      <c r="S12" t="s">
        <v>129</v>
      </c>
      <c r="T12" t="s">
        <v>130</v>
      </c>
      <c r="U12" t="s">
        <v>47</v>
      </c>
      <c r="V12" s="4">
        <v>45575</v>
      </c>
      <c r="W12" t="s">
        <v>1648</v>
      </c>
      <c r="X12" t="s">
        <v>1650</v>
      </c>
      <c r="Y12" t="s">
        <v>35</v>
      </c>
      <c r="Z12" t="s">
        <v>36</v>
      </c>
      <c r="AB12" s="4"/>
      <c r="AC12" t="s">
        <v>1649</v>
      </c>
      <c r="AD12" t="s">
        <v>1651</v>
      </c>
      <c r="AE12" t="s">
        <v>37</v>
      </c>
    </row>
    <row r="13" spans="1:31" x14ac:dyDescent="0.3">
      <c r="A13" t="s">
        <v>131</v>
      </c>
      <c r="B13" s="4">
        <v>45568</v>
      </c>
      <c r="C13" t="s">
        <v>1646</v>
      </c>
      <c r="D13" t="s">
        <v>132</v>
      </c>
      <c r="E13" t="s">
        <v>26</v>
      </c>
      <c r="F13" t="s">
        <v>133</v>
      </c>
      <c r="G13" t="s">
        <v>42</v>
      </c>
      <c r="H13" t="s">
        <v>134</v>
      </c>
      <c r="I13">
        <v>3299</v>
      </c>
      <c r="J13">
        <v>1</v>
      </c>
      <c r="K13" t="s">
        <v>1647</v>
      </c>
      <c r="L13">
        <v>3299</v>
      </c>
      <c r="M13">
        <v>3299</v>
      </c>
      <c r="O13">
        <v>0</v>
      </c>
      <c r="P13">
        <v>0</v>
      </c>
      <c r="Q13" t="s">
        <v>60</v>
      </c>
      <c r="R13" t="s">
        <v>46</v>
      </c>
      <c r="S13" t="s">
        <v>135</v>
      </c>
      <c r="T13" t="s">
        <v>136</v>
      </c>
      <c r="U13" t="s">
        <v>47</v>
      </c>
      <c r="V13" s="4"/>
      <c r="W13" t="s">
        <v>1656</v>
      </c>
      <c r="X13" t="s">
        <v>1657</v>
      </c>
      <c r="Y13" t="s">
        <v>137</v>
      </c>
      <c r="Z13" t="s">
        <v>36</v>
      </c>
      <c r="AB13" s="4"/>
      <c r="AC13" t="s">
        <v>1656</v>
      </c>
      <c r="AD13" t="s">
        <v>1651</v>
      </c>
      <c r="AE13" t="s">
        <v>37</v>
      </c>
    </row>
    <row r="14" spans="1:31" x14ac:dyDescent="0.3">
      <c r="A14" t="s">
        <v>138</v>
      </c>
      <c r="B14" s="4">
        <v>45568</v>
      </c>
      <c r="C14" t="s">
        <v>1646</v>
      </c>
      <c r="D14" t="s">
        <v>139</v>
      </c>
      <c r="E14" t="s">
        <v>40</v>
      </c>
      <c r="F14" t="s">
        <v>140</v>
      </c>
      <c r="G14" t="s">
        <v>28</v>
      </c>
      <c r="H14" t="s">
        <v>141</v>
      </c>
      <c r="I14">
        <v>2499</v>
      </c>
      <c r="J14">
        <v>1</v>
      </c>
      <c r="K14" t="s">
        <v>1647</v>
      </c>
      <c r="L14">
        <v>2499</v>
      </c>
      <c r="M14">
        <v>2499</v>
      </c>
      <c r="O14">
        <v>0</v>
      </c>
      <c r="P14">
        <v>0</v>
      </c>
      <c r="Q14" t="s">
        <v>45</v>
      </c>
      <c r="R14" t="s">
        <v>31</v>
      </c>
      <c r="S14" t="s">
        <v>32</v>
      </c>
      <c r="T14" t="s">
        <v>33</v>
      </c>
      <c r="U14" t="s">
        <v>32</v>
      </c>
      <c r="V14" s="4">
        <v>45574</v>
      </c>
      <c r="W14" t="s">
        <v>1648</v>
      </c>
      <c r="X14" t="s">
        <v>1650</v>
      </c>
      <c r="Y14" t="s">
        <v>35</v>
      </c>
      <c r="Z14" t="s">
        <v>36</v>
      </c>
      <c r="AB14" s="4"/>
      <c r="AC14" t="s">
        <v>1649</v>
      </c>
      <c r="AD14" t="s">
        <v>1651</v>
      </c>
      <c r="AE14" t="s">
        <v>37</v>
      </c>
    </row>
    <row r="15" spans="1:31" x14ac:dyDescent="0.3">
      <c r="A15" t="s">
        <v>142</v>
      </c>
      <c r="B15" s="4">
        <v>45568</v>
      </c>
      <c r="C15" t="s">
        <v>1646</v>
      </c>
      <c r="D15" t="s">
        <v>143</v>
      </c>
      <c r="E15" t="s">
        <v>26</v>
      </c>
      <c r="F15" t="s">
        <v>144</v>
      </c>
      <c r="G15" t="s">
        <v>58</v>
      </c>
      <c r="H15" t="s">
        <v>145</v>
      </c>
      <c r="I15">
        <v>1799</v>
      </c>
      <c r="J15">
        <v>2</v>
      </c>
      <c r="K15" t="s">
        <v>1647</v>
      </c>
      <c r="L15">
        <v>3598</v>
      </c>
      <c r="M15">
        <v>2878.4</v>
      </c>
      <c r="N15" t="s">
        <v>44</v>
      </c>
      <c r="O15">
        <v>20</v>
      </c>
      <c r="P15">
        <v>719.6</v>
      </c>
      <c r="Q15" t="s">
        <v>30</v>
      </c>
      <c r="R15" t="s">
        <v>71</v>
      </c>
      <c r="S15" t="s">
        <v>47</v>
      </c>
      <c r="T15" t="s">
        <v>47</v>
      </c>
      <c r="U15" t="s">
        <v>47</v>
      </c>
      <c r="V15" s="4">
        <v>45576</v>
      </c>
      <c r="W15" t="s">
        <v>1648</v>
      </c>
      <c r="X15" t="s">
        <v>1650</v>
      </c>
      <c r="Y15" t="s">
        <v>35</v>
      </c>
      <c r="Z15" t="s">
        <v>49</v>
      </c>
      <c r="AA15" t="s">
        <v>50</v>
      </c>
      <c r="AB15" s="4">
        <v>45593</v>
      </c>
      <c r="AC15" t="s">
        <v>1652</v>
      </c>
      <c r="AD15" t="s">
        <v>1653</v>
      </c>
      <c r="AE15" t="s">
        <v>52</v>
      </c>
    </row>
    <row r="16" spans="1:31" x14ac:dyDescent="0.3">
      <c r="A16" t="s">
        <v>147</v>
      </c>
      <c r="B16" s="4">
        <v>45568</v>
      </c>
      <c r="C16" t="s">
        <v>1646</v>
      </c>
      <c r="D16" t="s">
        <v>148</v>
      </c>
      <c r="E16" t="s">
        <v>26</v>
      </c>
      <c r="F16" t="s">
        <v>149</v>
      </c>
      <c r="G16" t="s">
        <v>67</v>
      </c>
      <c r="H16" t="s">
        <v>150</v>
      </c>
      <c r="I16">
        <v>2799</v>
      </c>
      <c r="J16">
        <v>1</v>
      </c>
      <c r="K16" t="s">
        <v>1647</v>
      </c>
      <c r="L16">
        <v>2799</v>
      </c>
      <c r="M16">
        <v>2799</v>
      </c>
      <c r="O16">
        <v>0</v>
      </c>
      <c r="P16">
        <v>0</v>
      </c>
      <c r="Q16" t="s">
        <v>70</v>
      </c>
      <c r="R16" t="s">
        <v>46</v>
      </c>
      <c r="S16" t="s">
        <v>61</v>
      </c>
      <c r="T16" t="s">
        <v>62</v>
      </c>
      <c r="U16" t="s">
        <v>61</v>
      </c>
      <c r="V16" s="4">
        <v>45577</v>
      </c>
      <c r="W16" t="s">
        <v>1648</v>
      </c>
      <c r="X16" t="s">
        <v>1650</v>
      </c>
      <c r="Y16" t="s">
        <v>35</v>
      </c>
      <c r="Z16" t="s">
        <v>36</v>
      </c>
      <c r="AB16" s="4"/>
      <c r="AC16" t="s">
        <v>1649</v>
      </c>
      <c r="AD16" t="s">
        <v>1651</v>
      </c>
      <c r="AE16" t="s">
        <v>37</v>
      </c>
    </row>
    <row r="17" spans="1:31" x14ac:dyDescent="0.3">
      <c r="A17" t="s">
        <v>152</v>
      </c>
      <c r="B17" s="4">
        <v>45569</v>
      </c>
      <c r="C17" t="s">
        <v>1646</v>
      </c>
      <c r="D17" t="s">
        <v>153</v>
      </c>
      <c r="E17" t="s">
        <v>40</v>
      </c>
      <c r="F17" t="s">
        <v>154</v>
      </c>
      <c r="G17" t="s">
        <v>79</v>
      </c>
      <c r="H17" t="s">
        <v>155</v>
      </c>
      <c r="I17">
        <v>599</v>
      </c>
      <c r="J17">
        <v>4</v>
      </c>
      <c r="K17" t="s">
        <v>1647</v>
      </c>
      <c r="L17">
        <v>2396</v>
      </c>
      <c r="M17">
        <v>2396</v>
      </c>
      <c r="O17">
        <v>0</v>
      </c>
      <c r="P17">
        <v>0</v>
      </c>
      <c r="Q17" t="s">
        <v>60</v>
      </c>
      <c r="R17" t="s">
        <v>31</v>
      </c>
      <c r="S17" t="s">
        <v>156</v>
      </c>
      <c r="T17" t="s">
        <v>130</v>
      </c>
      <c r="U17" t="s">
        <v>47</v>
      </c>
      <c r="V17" s="4">
        <v>45579</v>
      </c>
      <c r="W17" t="s">
        <v>1648</v>
      </c>
      <c r="X17" t="s">
        <v>1650</v>
      </c>
      <c r="Y17" t="s">
        <v>35</v>
      </c>
      <c r="Z17" t="s">
        <v>49</v>
      </c>
      <c r="AA17" t="s">
        <v>158</v>
      </c>
      <c r="AB17" s="4">
        <v>45591</v>
      </c>
      <c r="AC17" t="s">
        <v>1652</v>
      </c>
      <c r="AD17" t="s">
        <v>1653</v>
      </c>
      <c r="AE17" t="s">
        <v>52</v>
      </c>
    </row>
    <row r="18" spans="1:31" x14ac:dyDescent="0.3">
      <c r="A18" t="s">
        <v>160</v>
      </c>
      <c r="B18" s="4">
        <v>45569</v>
      </c>
      <c r="C18" t="s">
        <v>1646</v>
      </c>
      <c r="D18" t="s">
        <v>161</v>
      </c>
      <c r="E18" t="s">
        <v>26</v>
      </c>
      <c r="F18" t="s">
        <v>162</v>
      </c>
      <c r="G18" t="s">
        <v>28</v>
      </c>
      <c r="H18" t="s">
        <v>163</v>
      </c>
      <c r="I18">
        <v>999</v>
      </c>
      <c r="J18">
        <v>1</v>
      </c>
      <c r="K18" t="s">
        <v>1647</v>
      </c>
      <c r="L18">
        <v>999</v>
      </c>
      <c r="M18">
        <v>849.15</v>
      </c>
      <c r="N18" t="s">
        <v>69</v>
      </c>
      <c r="O18">
        <v>15</v>
      </c>
      <c r="P18">
        <v>149.85</v>
      </c>
      <c r="Q18" t="s">
        <v>30</v>
      </c>
      <c r="R18" t="s">
        <v>46</v>
      </c>
      <c r="S18" t="s">
        <v>164</v>
      </c>
      <c r="T18" t="s">
        <v>165</v>
      </c>
      <c r="U18" t="s">
        <v>47</v>
      </c>
      <c r="V18" s="4">
        <v>45577</v>
      </c>
      <c r="W18" t="s">
        <v>1648</v>
      </c>
      <c r="X18" t="s">
        <v>1650</v>
      </c>
      <c r="Y18" t="s">
        <v>35</v>
      </c>
      <c r="Z18" t="s">
        <v>36</v>
      </c>
      <c r="AB18" s="4"/>
      <c r="AC18" t="s">
        <v>1649</v>
      </c>
      <c r="AD18" t="s">
        <v>1651</v>
      </c>
      <c r="AE18" t="s">
        <v>37</v>
      </c>
    </row>
    <row r="19" spans="1:31" x14ac:dyDescent="0.3">
      <c r="A19" t="s">
        <v>167</v>
      </c>
      <c r="B19" s="4">
        <v>45569</v>
      </c>
      <c r="C19" t="s">
        <v>1646</v>
      </c>
      <c r="D19" t="s">
        <v>168</v>
      </c>
      <c r="E19" t="s">
        <v>26</v>
      </c>
      <c r="F19" t="s">
        <v>169</v>
      </c>
      <c r="G19" t="s">
        <v>42</v>
      </c>
      <c r="H19" t="s">
        <v>170</v>
      </c>
      <c r="I19">
        <v>2899</v>
      </c>
      <c r="J19">
        <v>1</v>
      </c>
      <c r="K19" t="s">
        <v>1647</v>
      </c>
      <c r="L19">
        <v>2899</v>
      </c>
      <c r="M19">
        <v>2899</v>
      </c>
      <c r="O19">
        <v>0</v>
      </c>
      <c r="P19">
        <v>0</v>
      </c>
      <c r="Q19" t="s">
        <v>45</v>
      </c>
      <c r="R19" t="s">
        <v>31</v>
      </c>
      <c r="S19" t="s">
        <v>171</v>
      </c>
      <c r="T19" t="s">
        <v>172</v>
      </c>
      <c r="U19" t="s">
        <v>32</v>
      </c>
      <c r="V19" s="4">
        <v>45579</v>
      </c>
      <c r="W19" t="s">
        <v>1648</v>
      </c>
      <c r="X19" t="s">
        <v>1650</v>
      </c>
      <c r="Y19" t="s">
        <v>35</v>
      </c>
      <c r="Z19" t="s">
        <v>36</v>
      </c>
      <c r="AB19" s="4"/>
      <c r="AC19" t="s">
        <v>1649</v>
      </c>
      <c r="AD19" t="s">
        <v>1651</v>
      </c>
      <c r="AE19" t="s">
        <v>37</v>
      </c>
    </row>
    <row r="20" spans="1:31" x14ac:dyDescent="0.3">
      <c r="A20" t="s">
        <v>173</v>
      </c>
      <c r="B20" s="4">
        <v>45569</v>
      </c>
      <c r="C20" t="s">
        <v>1646</v>
      </c>
      <c r="D20" t="s">
        <v>174</v>
      </c>
      <c r="E20" t="s">
        <v>40</v>
      </c>
      <c r="F20" t="s">
        <v>175</v>
      </c>
      <c r="G20" t="s">
        <v>58</v>
      </c>
      <c r="H20" t="s">
        <v>176</v>
      </c>
      <c r="I20">
        <v>1499</v>
      </c>
      <c r="J20">
        <v>2</v>
      </c>
      <c r="K20" t="s">
        <v>1647</v>
      </c>
      <c r="L20">
        <v>2998</v>
      </c>
      <c r="M20">
        <v>2998</v>
      </c>
      <c r="O20">
        <v>0</v>
      </c>
      <c r="P20">
        <v>0</v>
      </c>
      <c r="Q20" t="s">
        <v>128</v>
      </c>
      <c r="R20" t="s">
        <v>71</v>
      </c>
      <c r="S20" t="s">
        <v>177</v>
      </c>
      <c r="T20" t="s">
        <v>109</v>
      </c>
      <c r="U20" t="s">
        <v>32</v>
      </c>
      <c r="V20" s="4">
        <v>45578</v>
      </c>
      <c r="W20" t="s">
        <v>1648</v>
      </c>
      <c r="X20" t="s">
        <v>1650</v>
      </c>
      <c r="Y20" t="s">
        <v>35</v>
      </c>
      <c r="Z20" t="s">
        <v>49</v>
      </c>
      <c r="AA20" t="s">
        <v>50</v>
      </c>
      <c r="AB20" s="4">
        <v>45595</v>
      </c>
      <c r="AC20" t="s">
        <v>1652</v>
      </c>
      <c r="AD20" t="s">
        <v>1653</v>
      </c>
      <c r="AE20" t="s">
        <v>52</v>
      </c>
    </row>
    <row r="21" spans="1:31" x14ac:dyDescent="0.3">
      <c r="A21" t="s">
        <v>180</v>
      </c>
      <c r="B21" s="4">
        <v>45570</v>
      </c>
      <c r="C21" t="s">
        <v>1646</v>
      </c>
      <c r="D21" t="s">
        <v>181</v>
      </c>
      <c r="E21" t="s">
        <v>26</v>
      </c>
      <c r="F21" t="s">
        <v>182</v>
      </c>
      <c r="G21" t="s">
        <v>67</v>
      </c>
      <c r="H21" t="s">
        <v>183</v>
      </c>
      <c r="I21">
        <v>3999</v>
      </c>
      <c r="J21">
        <v>1</v>
      </c>
      <c r="K21" t="s">
        <v>1647</v>
      </c>
      <c r="L21">
        <v>3999</v>
      </c>
      <c r="M21">
        <v>3199.2</v>
      </c>
      <c r="N21" t="s">
        <v>44</v>
      </c>
      <c r="O21">
        <v>20</v>
      </c>
      <c r="P21">
        <v>799.8</v>
      </c>
      <c r="Q21" t="s">
        <v>60</v>
      </c>
      <c r="R21" t="s">
        <v>31</v>
      </c>
      <c r="S21" t="s">
        <v>184</v>
      </c>
      <c r="T21" t="s">
        <v>185</v>
      </c>
      <c r="U21" t="s">
        <v>47</v>
      </c>
      <c r="V21" s="4"/>
      <c r="W21" t="s">
        <v>1656</v>
      </c>
      <c r="X21" t="s">
        <v>1657</v>
      </c>
      <c r="Y21" t="s">
        <v>137</v>
      </c>
      <c r="Z21" t="s">
        <v>36</v>
      </c>
      <c r="AB21" s="4"/>
      <c r="AC21" t="s">
        <v>1656</v>
      </c>
      <c r="AD21" t="s">
        <v>1651</v>
      </c>
      <c r="AE21" t="s">
        <v>37</v>
      </c>
    </row>
    <row r="22" spans="1:31" x14ac:dyDescent="0.3">
      <c r="A22" t="s">
        <v>186</v>
      </c>
      <c r="B22" s="4">
        <v>45570</v>
      </c>
      <c r="C22" t="s">
        <v>1646</v>
      </c>
      <c r="D22" t="s">
        <v>187</v>
      </c>
      <c r="E22" t="s">
        <v>26</v>
      </c>
      <c r="F22" t="s">
        <v>188</v>
      </c>
      <c r="G22" t="s">
        <v>28</v>
      </c>
      <c r="H22" t="s">
        <v>189</v>
      </c>
      <c r="I22">
        <v>1699</v>
      </c>
      <c r="J22">
        <v>1</v>
      </c>
      <c r="K22" t="s">
        <v>1647</v>
      </c>
      <c r="L22">
        <v>1699</v>
      </c>
      <c r="M22">
        <v>1699</v>
      </c>
      <c r="O22">
        <v>0</v>
      </c>
      <c r="P22">
        <v>0</v>
      </c>
      <c r="Q22" t="s">
        <v>30</v>
      </c>
      <c r="R22" t="s">
        <v>46</v>
      </c>
      <c r="S22" t="s">
        <v>190</v>
      </c>
      <c r="T22" t="s">
        <v>172</v>
      </c>
      <c r="U22" t="s">
        <v>32</v>
      </c>
      <c r="V22" s="4">
        <v>45580</v>
      </c>
      <c r="W22" t="s">
        <v>1648</v>
      </c>
      <c r="X22" t="s">
        <v>1650</v>
      </c>
      <c r="Y22" t="s">
        <v>35</v>
      </c>
      <c r="Z22" t="s">
        <v>36</v>
      </c>
      <c r="AB22" s="4"/>
      <c r="AC22" t="s">
        <v>1649</v>
      </c>
      <c r="AD22" t="s">
        <v>1651</v>
      </c>
      <c r="AE22" t="s">
        <v>37</v>
      </c>
    </row>
    <row r="23" spans="1:31" x14ac:dyDescent="0.3">
      <c r="A23" t="s">
        <v>191</v>
      </c>
      <c r="B23" s="4">
        <v>45570</v>
      </c>
      <c r="C23" t="s">
        <v>1646</v>
      </c>
      <c r="D23" t="s">
        <v>192</v>
      </c>
      <c r="E23" t="s">
        <v>40</v>
      </c>
      <c r="F23" t="s">
        <v>193</v>
      </c>
      <c r="G23" t="s">
        <v>42</v>
      </c>
      <c r="H23" t="s">
        <v>194</v>
      </c>
      <c r="I23">
        <v>2399</v>
      </c>
      <c r="J23">
        <v>1</v>
      </c>
      <c r="K23" t="s">
        <v>1647</v>
      </c>
      <c r="L23">
        <v>2399</v>
      </c>
      <c r="M23">
        <v>2399</v>
      </c>
      <c r="O23">
        <v>0</v>
      </c>
      <c r="P23">
        <v>0</v>
      </c>
      <c r="Q23" t="s">
        <v>45</v>
      </c>
      <c r="R23" t="s">
        <v>31</v>
      </c>
      <c r="S23" t="s">
        <v>195</v>
      </c>
      <c r="T23" t="s">
        <v>33</v>
      </c>
      <c r="U23" t="s">
        <v>32</v>
      </c>
      <c r="V23" s="4">
        <v>45581</v>
      </c>
      <c r="W23" t="s">
        <v>1648</v>
      </c>
      <c r="X23" t="s">
        <v>1650</v>
      </c>
      <c r="Y23" t="s">
        <v>35</v>
      </c>
      <c r="Z23" t="s">
        <v>49</v>
      </c>
      <c r="AA23" t="s">
        <v>75</v>
      </c>
      <c r="AB23" s="4">
        <v>45598</v>
      </c>
      <c r="AC23" t="s">
        <v>1652</v>
      </c>
      <c r="AD23" t="s">
        <v>1653</v>
      </c>
      <c r="AE23" t="s">
        <v>52</v>
      </c>
    </row>
    <row r="24" spans="1:31" x14ac:dyDescent="0.3">
      <c r="A24" t="s">
        <v>198</v>
      </c>
      <c r="B24" s="4">
        <v>45570</v>
      </c>
      <c r="C24" t="s">
        <v>1646</v>
      </c>
      <c r="D24" t="s">
        <v>199</v>
      </c>
      <c r="E24" t="s">
        <v>26</v>
      </c>
      <c r="F24" t="s">
        <v>200</v>
      </c>
      <c r="G24" t="s">
        <v>79</v>
      </c>
      <c r="H24" t="s">
        <v>201</v>
      </c>
      <c r="I24">
        <v>899</v>
      </c>
      <c r="J24">
        <v>1</v>
      </c>
      <c r="K24" t="s">
        <v>1647</v>
      </c>
      <c r="L24">
        <v>899</v>
      </c>
      <c r="M24">
        <v>809.1</v>
      </c>
      <c r="N24" t="s">
        <v>127</v>
      </c>
      <c r="O24">
        <v>10</v>
      </c>
      <c r="P24">
        <v>89.9</v>
      </c>
      <c r="Q24" t="s">
        <v>70</v>
      </c>
      <c r="R24" t="s">
        <v>46</v>
      </c>
      <c r="S24" t="s">
        <v>202</v>
      </c>
      <c r="T24" t="s">
        <v>73</v>
      </c>
      <c r="U24" t="s">
        <v>61</v>
      </c>
      <c r="V24" s="4">
        <v>45582</v>
      </c>
      <c r="W24" t="s">
        <v>1648</v>
      </c>
      <c r="X24" t="s">
        <v>1650</v>
      </c>
      <c r="Y24" t="s">
        <v>35</v>
      </c>
      <c r="Z24" t="s">
        <v>36</v>
      </c>
      <c r="AB24" s="4"/>
      <c r="AC24" t="s">
        <v>1649</v>
      </c>
      <c r="AD24" t="s">
        <v>1651</v>
      </c>
      <c r="AE24" t="s">
        <v>37</v>
      </c>
    </row>
    <row r="25" spans="1:31" x14ac:dyDescent="0.3">
      <c r="A25" t="s">
        <v>204</v>
      </c>
      <c r="B25" s="4">
        <v>45571</v>
      </c>
      <c r="C25" t="s">
        <v>1646</v>
      </c>
      <c r="D25" t="s">
        <v>205</v>
      </c>
      <c r="E25" t="s">
        <v>26</v>
      </c>
      <c r="F25" t="s">
        <v>206</v>
      </c>
      <c r="G25" t="s">
        <v>58</v>
      </c>
      <c r="H25" t="s">
        <v>207</v>
      </c>
      <c r="I25">
        <v>1199</v>
      </c>
      <c r="J25">
        <v>3</v>
      </c>
      <c r="K25" t="s">
        <v>1647</v>
      </c>
      <c r="L25">
        <v>3597</v>
      </c>
      <c r="M25">
        <v>3597</v>
      </c>
      <c r="O25">
        <v>0</v>
      </c>
      <c r="P25">
        <v>0</v>
      </c>
      <c r="Q25" t="s">
        <v>60</v>
      </c>
      <c r="R25" t="s">
        <v>71</v>
      </c>
      <c r="S25" t="s">
        <v>208</v>
      </c>
      <c r="T25" t="s">
        <v>209</v>
      </c>
      <c r="U25" t="s">
        <v>61</v>
      </c>
      <c r="V25" s="4">
        <v>45583</v>
      </c>
      <c r="W25" t="s">
        <v>1648</v>
      </c>
      <c r="X25" t="s">
        <v>1650</v>
      </c>
      <c r="Y25" t="s">
        <v>35</v>
      </c>
      <c r="Z25" t="s">
        <v>49</v>
      </c>
      <c r="AA25" t="s">
        <v>89</v>
      </c>
      <c r="AB25" s="4">
        <v>45601</v>
      </c>
      <c r="AC25" t="s">
        <v>1652</v>
      </c>
      <c r="AD25" t="s">
        <v>1653</v>
      </c>
      <c r="AE25" t="s">
        <v>52</v>
      </c>
    </row>
    <row r="26" spans="1:31" x14ac:dyDescent="0.3">
      <c r="A26" t="s">
        <v>211</v>
      </c>
      <c r="B26" s="4">
        <v>45571</v>
      </c>
      <c r="C26" t="s">
        <v>1646</v>
      </c>
      <c r="D26" t="s">
        <v>212</v>
      </c>
      <c r="E26" t="s">
        <v>26</v>
      </c>
      <c r="F26" t="s">
        <v>213</v>
      </c>
      <c r="G26" t="s">
        <v>28</v>
      </c>
      <c r="H26" t="s">
        <v>214</v>
      </c>
      <c r="I26">
        <v>1799</v>
      </c>
      <c r="J26">
        <v>2</v>
      </c>
      <c r="K26" t="s">
        <v>1647</v>
      </c>
      <c r="L26">
        <v>3598</v>
      </c>
      <c r="M26">
        <v>3598</v>
      </c>
      <c r="O26">
        <v>0</v>
      </c>
      <c r="P26">
        <v>0</v>
      </c>
      <c r="Q26" t="s">
        <v>30</v>
      </c>
      <c r="R26" t="s">
        <v>31</v>
      </c>
      <c r="S26" t="s">
        <v>215</v>
      </c>
      <c r="T26" t="s">
        <v>216</v>
      </c>
      <c r="U26" t="s">
        <v>61</v>
      </c>
      <c r="V26" s="4">
        <v>45582</v>
      </c>
      <c r="W26" t="s">
        <v>1648</v>
      </c>
      <c r="X26" t="s">
        <v>1650</v>
      </c>
      <c r="Y26" t="s">
        <v>35</v>
      </c>
      <c r="Z26" t="s">
        <v>36</v>
      </c>
      <c r="AB26" s="4"/>
      <c r="AC26" t="s">
        <v>1649</v>
      </c>
      <c r="AD26" t="s">
        <v>1651</v>
      </c>
      <c r="AE26" t="s">
        <v>37</v>
      </c>
    </row>
    <row r="27" spans="1:31" x14ac:dyDescent="0.3">
      <c r="A27" t="s">
        <v>217</v>
      </c>
      <c r="B27" s="4">
        <v>45571</v>
      </c>
      <c r="C27" t="s">
        <v>1646</v>
      </c>
      <c r="D27" t="s">
        <v>218</v>
      </c>
      <c r="E27" t="s">
        <v>26</v>
      </c>
      <c r="F27" t="s">
        <v>219</v>
      </c>
      <c r="G27" t="s">
        <v>42</v>
      </c>
      <c r="H27" t="s">
        <v>220</v>
      </c>
      <c r="I27">
        <v>2699</v>
      </c>
      <c r="J27">
        <v>1</v>
      </c>
      <c r="K27" t="s">
        <v>1647</v>
      </c>
      <c r="L27">
        <v>2699</v>
      </c>
      <c r="M27">
        <v>2699</v>
      </c>
      <c r="O27">
        <v>0</v>
      </c>
      <c r="P27">
        <v>0</v>
      </c>
      <c r="Q27" t="s">
        <v>45</v>
      </c>
      <c r="R27" t="s">
        <v>46</v>
      </c>
      <c r="S27" t="s">
        <v>221</v>
      </c>
      <c r="T27" t="s">
        <v>209</v>
      </c>
      <c r="U27" t="s">
        <v>61</v>
      </c>
      <c r="V27" s="4">
        <v>45583</v>
      </c>
      <c r="W27" t="s">
        <v>1648</v>
      </c>
      <c r="X27" t="s">
        <v>1650</v>
      </c>
      <c r="Y27" t="s">
        <v>35</v>
      </c>
      <c r="Z27" t="s">
        <v>36</v>
      </c>
      <c r="AB27" s="4"/>
      <c r="AC27" t="s">
        <v>1649</v>
      </c>
      <c r="AD27" t="s">
        <v>1651</v>
      </c>
      <c r="AE27" t="s">
        <v>37</v>
      </c>
    </row>
    <row r="28" spans="1:31" x14ac:dyDescent="0.3">
      <c r="A28" t="s">
        <v>222</v>
      </c>
      <c r="B28" s="4">
        <v>45571</v>
      </c>
      <c r="C28" t="s">
        <v>1646</v>
      </c>
      <c r="D28" t="s">
        <v>223</v>
      </c>
      <c r="E28" t="s">
        <v>40</v>
      </c>
      <c r="F28" t="s">
        <v>224</v>
      </c>
      <c r="G28" t="s">
        <v>67</v>
      </c>
      <c r="H28" t="s">
        <v>225</v>
      </c>
      <c r="I28">
        <v>4599</v>
      </c>
      <c r="J28">
        <v>1</v>
      </c>
      <c r="K28" t="s">
        <v>1647</v>
      </c>
      <c r="L28">
        <v>4599</v>
      </c>
      <c r="M28">
        <v>4139.1000000000004</v>
      </c>
      <c r="N28" t="s">
        <v>127</v>
      </c>
      <c r="O28">
        <v>10</v>
      </c>
      <c r="P28">
        <v>459.9</v>
      </c>
      <c r="Q28" t="s">
        <v>70</v>
      </c>
      <c r="R28" t="s">
        <v>31</v>
      </c>
      <c r="S28" t="s">
        <v>226</v>
      </c>
      <c r="T28" t="s">
        <v>62</v>
      </c>
      <c r="U28" t="s">
        <v>61</v>
      </c>
      <c r="V28" s="4">
        <v>45584</v>
      </c>
      <c r="W28" t="s">
        <v>1648</v>
      </c>
      <c r="X28" t="s">
        <v>1650</v>
      </c>
      <c r="Y28" t="s">
        <v>35</v>
      </c>
      <c r="Z28" t="s">
        <v>49</v>
      </c>
      <c r="AA28" t="s">
        <v>50</v>
      </c>
      <c r="AB28" s="4">
        <v>45604</v>
      </c>
      <c r="AC28" t="s">
        <v>1652</v>
      </c>
      <c r="AD28" t="s">
        <v>1653</v>
      </c>
      <c r="AE28" t="s">
        <v>52</v>
      </c>
    </row>
    <row r="29" spans="1:31" x14ac:dyDescent="0.3">
      <c r="A29" t="s">
        <v>229</v>
      </c>
      <c r="B29" s="4">
        <v>45572</v>
      </c>
      <c r="C29" t="s">
        <v>1646</v>
      </c>
      <c r="D29" t="s">
        <v>230</v>
      </c>
      <c r="E29" t="s">
        <v>26</v>
      </c>
      <c r="F29" t="s">
        <v>231</v>
      </c>
      <c r="G29" t="s">
        <v>79</v>
      </c>
      <c r="H29" t="s">
        <v>232</v>
      </c>
      <c r="I29">
        <v>1099</v>
      </c>
      <c r="J29">
        <v>1</v>
      </c>
      <c r="K29" t="s">
        <v>1647</v>
      </c>
      <c r="L29">
        <v>1099</v>
      </c>
      <c r="M29">
        <v>1099</v>
      </c>
      <c r="O29">
        <v>0</v>
      </c>
      <c r="P29">
        <v>0</v>
      </c>
      <c r="Q29" t="s">
        <v>30</v>
      </c>
      <c r="R29" t="s">
        <v>71</v>
      </c>
      <c r="S29" t="s">
        <v>233</v>
      </c>
      <c r="T29" t="s">
        <v>109</v>
      </c>
      <c r="U29" t="s">
        <v>32</v>
      </c>
      <c r="V29" s="4">
        <v>45585</v>
      </c>
      <c r="W29" t="s">
        <v>1648</v>
      </c>
      <c r="X29" t="s">
        <v>1650</v>
      </c>
      <c r="Y29" t="s">
        <v>35</v>
      </c>
      <c r="Z29" t="s">
        <v>36</v>
      </c>
      <c r="AB29" s="4"/>
      <c r="AC29" t="s">
        <v>1649</v>
      </c>
      <c r="AD29" t="s">
        <v>1651</v>
      </c>
      <c r="AE29" t="s">
        <v>37</v>
      </c>
    </row>
    <row r="30" spans="1:31" x14ac:dyDescent="0.3">
      <c r="A30" t="s">
        <v>234</v>
      </c>
      <c r="B30" s="4">
        <v>45572</v>
      </c>
      <c r="C30" t="s">
        <v>1646</v>
      </c>
      <c r="D30" t="s">
        <v>235</v>
      </c>
      <c r="E30" t="s">
        <v>26</v>
      </c>
      <c r="F30" t="s">
        <v>236</v>
      </c>
      <c r="G30" t="s">
        <v>28</v>
      </c>
      <c r="H30" t="s">
        <v>237</v>
      </c>
      <c r="I30">
        <v>1899</v>
      </c>
      <c r="J30">
        <v>1</v>
      </c>
      <c r="K30" t="s">
        <v>1647</v>
      </c>
      <c r="L30">
        <v>1899</v>
      </c>
      <c r="M30">
        <v>1899</v>
      </c>
      <c r="O30">
        <v>0</v>
      </c>
      <c r="P30">
        <v>0</v>
      </c>
      <c r="Q30" t="s">
        <v>60</v>
      </c>
      <c r="R30" t="s">
        <v>46</v>
      </c>
      <c r="S30" t="s">
        <v>238</v>
      </c>
      <c r="T30" t="s">
        <v>109</v>
      </c>
      <c r="U30" t="s">
        <v>32</v>
      </c>
      <c r="V30" s="4"/>
      <c r="W30" t="s">
        <v>1656</v>
      </c>
      <c r="X30" t="s">
        <v>1657</v>
      </c>
      <c r="Y30" t="s">
        <v>137</v>
      </c>
      <c r="Z30" t="s">
        <v>36</v>
      </c>
      <c r="AB30" s="4"/>
      <c r="AC30" t="s">
        <v>1656</v>
      </c>
      <c r="AD30" t="s">
        <v>1651</v>
      </c>
      <c r="AE30" t="s">
        <v>37</v>
      </c>
    </row>
    <row r="31" spans="1:31" x14ac:dyDescent="0.3">
      <c r="A31" t="s">
        <v>239</v>
      </c>
      <c r="B31" s="4">
        <v>45572</v>
      </c>
      <c r="C31" t="s">
        <v>1646</v>
      </c>
      <c r="D31" t="s">
        <v>240</v>
      </c>
      <c r="E31" t="s">
        <v>26</v>
      </c>
      <c r="F31" t="s">
        <v>241</v>
      </c>
      <c r="G31" t="s">
        <v>58</v>
      </c>
      <c r="H31" t="s">
        <v>242</v>
      </c>
      <c r="I31">
        <v>2199</v>
      </c>
      <c r="J31">
        <v>1</v>
      </c>
      <c r="K31" t="s">
        <v>1647</v>
      </c>
      <c r="L31">
        <v>2199</v>
      </c>
      <c r="M31">
        <v>1759.2</v>
      </c>
      <c r="N31" t="s">
        <v>44</v>
      </c>
      <c r="O31">
        <v>20</v>
      </c>
      <c r="P31">
        <v>439.8</v>
      </c>
      <c r="Q31" t="s">
        <v>45</v>
      </c>
      <c r="R31" t="s">
        <v>31</v>
      </c>
      <c r="S31" t="s">
        <v>243</v>
      </c>
      <c r="T31" t="s">
        <v>130</v>
      </c>
      <c r="U31" t="s">
        <v>47</v>
      </c>
      <c r="V31" s="4">
        <v>45585</v>
      </c>
      <c r="W31" t="s">
        <v>1648</v>
      </c>
      <c r="X31" t="s">
        <v>1650</v>
      </c>
      <c r="Y31" t="s">
        <v>35</v>
      </c>
      <c r="Z31" t="s">
        <v>36</v>
      </c>
      <c r="AB31" s="4"/>
      <c r="AC31" t="s">
        <v>1649</v>
      </c>
      <c r="AD31" t="s">
        <v>1651</v>
      </c>
      <c r="AE31" t="s">
        <v>37</v>
      </c>
    </row>
    <row r="32" spans="1:31" x14ac:dyDescent="0.3">
      <c r="A32" t="s">
        <v>244</v>
      </c>
      <c r="B32" s="4">
        <v>45572</v>
      </c>
      <c r="C32" t="s">
        <v>1646</v>
      </c>
      <c r="D32" t="s">
        <v>245</v>
      </c>
      <c r="E32" t="s">
        <v>40</v>
      </c>
      <c r="F32" t="s">
        <v>246</v>
      </c>
      <c r="G32" t="s">
        <v>42</v>
      </c>
      <c r="H32" t="s">
        <v>247</v>
      </c>
      <c r="I32">
        <v>5499</v>
      </c>
      <c r="J32">
        <v>1</v>
      </c>
      <c r="K32" t="s">
        <v>1647</v>
      </c>
      <c r="L32">
        <v>5499</v>
      </c>
      <c r="M32">
        <v>5499</v>
      </c>
      <c r="O32">
        <v>0</v>
      </c>
      <c r="P32">
        <v>0</v>
      </c>
      <c r="Q32" t="s">
        <v>45</v>
      </c>
      <c r="R32" t="s">
        <v>46</v>
      </c>
      <c r="S32" t="s">
        <v>32</v>
      </c>
      <c r="T32" t="s">
        <v>33</v>
      </c>
      <c r="U32" t="s">
        <v>32</v>
      </c>
      <c r="V32" s="4">
        <v>45586</v>
      </c>
      <c r="W32" t="s">
        <v>1648</v>
      </c>
      <c r="X32" t="s">
        <v>1650</v>
      </c>
      <c r="Y32" t="s">
        <v>35</v>
      </c>
      <c r="Z32" t="s">
        <v>49</v>
      </c>
      <c r="AA32" t="s">
        <v>50</v>
      </c>
      <c r="AB32" s="4">
        <v>45606</v>
      </c>
      <c r="AC32" t="s">
        <v>1652</v>
      </c>
      <c r="AD32" t="s">
        <v>1653</v>
      </c>
      <c r="AE32" t="s">
        <v>52</v>
      </c>
    </row>
    <row r="33" spans="1:31" x14ac:dyDescent="0.3">
      <c r="A33" t="s">
        <v>250</v>
      </c>
      <c r="B33" s="4">
        <v>45573</v>
      </c>
      <c r="C33" t="s">
        <v>1646</v>
      </c>
      <c r="D33" t="s">
        <v>251</v>
      </c>
      <c r="E33" t="s">
        <v>26</v>
      </c>
      <c r="F33" t="s">
        <v>252</v>
      </c>
      <c r="G33" t="s">
        <v>28</v>
      </c>
      <c r="H33" t="s">
        <v>253</v>
      </c>
      <c r="I33">
        <v>899</v>
      </c>
      <c r="J33">
        <v>2</v>
      </c>
      <c r="K33" t="s">
        <v>1647</v>
      </c>
      <c r="L33">
        <v>1798</v>
      </c>
      <c r="M33">
        <v>1798</v>
      </c>
      <c r="O33">
        <v>0</v>
      </c>
      <c r="P33">
        <v>0</v>
      </c>
      <c r="Q33" t="s">
        <v>30</v>
      </c>
      <c r="R33" t="s">
        <v>31</v>
      </c>
      <c r="S33" t="s">
        <v>47</v>
      </c>
      <c r="T33" t="s">
        <v>47</v>
      </c>
      <c r="U33" t="s">
        <v>47</v>
      </c>
      <c r="V33" s="4">
        <v>45579</v>
      </c>
      <c r="W33" t="s">
        <v>1648</v>
      </c>
      <c r="X33" t="s">
        <v>1650</v>
      </c>
      <c r="Y33" t="s">
        <v>35</v>
      </c>
      <c r="Z33" t="s">
        <v>36</v>
      </c>
      <c r="AB33" s="4"/>
      <c r="AC33" t="s">
        <v>1649</v>
      </c>
      <c r="AD33" t="s">
        <v>1651</v>
      </c>
      <c r="AE33" t="s">
        <v>37</v>
      </c>
    </row>
    <row r="34" spans="1:31" x14ac:dyDescent="0.3">
      <c r="A34" t="s">
        <v>254</v>
      </c>
      <c r="B34" s="4">
        <v>45573</v>
      </c>
      <c r="C34" t="s">
        <v>1646</v>
      </c>
      <c r="D34" t="s">
        <v>255</v>
      </c>
      <c r="E34" t="s">
        <v>26</v>
      </c>
      <c r="F34" t="s">
        <v>256</v>
      </c>
      <c r="G34" t="s">
        <v>67</v>
      </c>
      <c r="H34" t="s">
        <v>257</v>
      </c>
      <c r="I34">
        <v>6999</v>
      </c>
      <c r="J34">
        <v>1</v>
      </c>
      <c r="K34" t="s">
        <v>1647</v>
      </c>
      <c r="L34">
        <v>6999</v>
      </c>
      <c r="M34">
        <v>5949.15</v>
      </c>
      <c r="N34" t="s">
        <v>69</v>
      </c>
      <c r="O34">
        <v>15</v>
      </c>
      <c r="P34">
        <v>1049.8499999999999</v>
      </c>
      <c r="Q34" t="s">
        <v>70</v>
      </c>
      <c r="R34" t="s">
        <v>71</v>
      </c>
      <c r="S34" t="s">
        <v>101</v>
      </c>
      <c r="T34" t="s">
        <v>102</v>
      </c>
      <c r="U34" t="s">
        <v>47</v>
      </c>
      <c r="V34" s="4">
        <v>45581</v>
      </c>
      <c r="W34" t="s">
        <v>1648</v>
      </c>
      <c r="X34" t="s">
        <v>1650</v>
      </c>
      <c r="Y34" t="s">
        <v>35</v>
      </c>
      <c r="Z34" t="s">
        <v>49</v>
      </c>
      <c r="AA34" t="s">
        <v>75</v>
      </c>
      <c r="AB34" s="4">
        <v>45601</v>
      </c>
      <c r="AC34" t="s">
        <v>1652</v>
      </c>
      <c r="AD34" t="s">
        <v>1653</v>
      </c>
      <c r="AE34" t="s">
        <v>52</v>
      </c>
    </row>
    <row r="35" spans="1:31" x14ac:dyDescent="0.3">
      <c r="A35" t="s">
        <v>258</v>
      </c>
      <c r="B35" s="4">
        <v>45573</v>
      </c>
      <c r="C35" t="s">
        <v>1646</v>
      </c>
      <c r="D35" t="s">
        <v>259</v>
      </c>
      <c r="E35" t="s">
        <v>40</v>
      </c>
      <c r="F35" t="s">
        <v>260</v>
      </c>
      <c r="G35" t="s">
        <v>79</v>
      </c>
      <c r="H35" t="s">
        <v>261</v>
      </c>
      <c r="I35">
        <v>2999</v>
      </c>
      <c r="J35">
        <v>1</v>
      </c>
      <c r="K35" t="s">
        <v>1647</v>
      </c>
      <c r="L35">
        <v>2999</v>
      </c>
      <c r="M35">
        <v>2999</v>
      </c>
      <c r="O35">
        <v>0</v>
      </c>
      <c r="P35">
        <v>0</v>
      </c>
      <c r="Q35" t="s">
        <v>45</v>
      </c>
      <c r="R35" t="s">
        <v>46</v>
      </c>
      <c r="S35" t="s">
        <v>72</v>
      </c>
      <c r="T35" t="s">
        <v>73</v>
      </c>
      <c r="U35" t="s">
        <v>61</v>
      </c>
      <c r="V35" s="4">
        <v>45580</v>
      </c>
      <c r="W35" t="s">
        <v>1648</v>
      </c>
      <c r="X35" t="s">
        <v>1650</v>
      </c>
      <c r="Y35" t="s">
        <v>35</v>
      </c>
      <c r="Z35" t="s">
        <v>36</v>
      </c>
      <c r="AB35" s="4"/>
      <c r="AC35" t="s">
        <v>1649</v>
      </c>
      <c r="AD35" t="s">
        <v>1651</v>
      </c>
      <c r="AE35" t="s">
        <v>37</v>
      </c>
    </row>
    <row r="36" spans="1:31" x14ac:dyDescent="0.3">
      <c r="A36" t="s">
        <v>262</v>
      </c>
      <c r="B36" s="4">
        <v>45573</v>
      </c>
      <c r="C36" t="s">
        <v>1646</v>
      </c>
      <c r="D36" t="s">
        <v>263</v>
      </c>
      <c r="E36" t="s">
        <v>26</v>
      </c>
      <c r="F36" t="s">
        <v>264</v>
      </c>
      <c r="G36" t="s">
        <v>58</v>
      </c>
      <c r="H36" t="s">
        <v>265</v>
      </c>
      <c r="I36">
        <v>1599</v>
      </c>
      <c r="J36">
        <v>1</v>
      </c>
      <c r="K36" t="s">
        <v>1647</v>
      </c>
      <c r="L36">
        <v>1599</v>
      </c>
      <c r="M36">
        <v>1599</v>
      </c>
      <c r="O36">
        <v>0</v>
      </c>
      <c r="P36">
        <v>0</v>
      </c>
      <c r="Q36" t="s">
        <v>60</v>
      </c>
      <c r="R36" t="s">
        <v>31</v>
      </c>
      <c r="S36" t="s">
        <v>86</v>
      </c>
      <c r="T36" t="s">
        <v>87</v>
      </c>
      <c r="U36" t="s">
        <v>61</v>
      </c>
      <c r="V36" s="4">
        <v>45582</v>
      </c>
      <c r="W36" t="s">
        <v>1648</v>
      </c>
      <c r="X36" t="s">
        <v>1650</v>
      </c>
      <c r="Y36" t="s">
        <v>35</v>
      </c>
      <c r="Z36" t="s">
        <v>49</v>
      </c>
      <c r="AA36" t="s">
        <v>50</v>
      </c>
      <c r="AB36" s="4">
        <v>45604</v>
      </c>
      <c r="AC36" t="s">
        <v>1652</v>
      </c>
      <c r="AD36" t="s">
        <v>1653</v>
      </c>
      <c r="AE36" t="s">
        <v>52</v>
      </c>
    </row>
    <row r="37" spans="1:31" x14ac:dyDescent="0.3">
      <c r="A37" t="s">
        <v>266</v>
      </c>
      <c r="B37" s="4">
        <v>45574</v>
      </c>
      <c r="C37" t="s">
        <v>1646</v>
      </c>
      <c r="D37" t="s">
        <v>267</v>
      </c>
      <c r="E37" t="s">
        <v>26</v>
      </c>
      <c r="F37" t="s">
        <v>268</v>
      </c>
      <c r="G37" t="s">
        <v>42</v>
      </c>
      <c r="H37" t="s">
        <v>269</v>
      </c>
      <c r="I37">
        <v>1999</v>
      </c>
      <c r="J37">
        <v>1</v>
      </c>
      <c r="K37" t="s">
        <v>1647</v>
      </c>
      <c r="L37">
        <v>1999</v>
      </c>
      <c r="M37">
        <v>1599.2</v>
      </c>
      <c r="N37" t="s">
        <v>44</v>
      </c>
      <c r="O37">
        <v>20</v>
      </c>
      <c r="P37">
        <v>399.8</v>
      </c>
      <c r="Q37" t="s">
        <v>128</v>
      </c>
      <c r="R37" t="s">
        <v>46</v>
      </c>
      <c r="S37" t="s">
        <v>95</v>
      </c>
      <c r="T37" t="s">
        <v>33</v>
      </c>
      <c r="U37" t="s">
        <v>32</v>
      </c>
      <c r="V37" s="4">
        <v>45581</v>
      </c>
      <c r="W37" t="s">
        <v>1648</v>
      </c>
      <c r="X37" t="s">
        <v>1650</v>
      </c>
      <c r="Y37" t="s">
        <v>35</v>
      </c>
      <c r="Z37" t="s">
        <v>36</v>
      </c>
      <c r="AB37" s="4"/>
      <c r="AC37" t="s">
        <v>1649</v>
      </c>
      <c r="AD37" t="s">
        <v>1651</v>
      </c>
      <c r="AE37" t="s">
        <v>37</v>
      </c>
    </row>
    <row r="38" spans="1:31" x14ac:dyDescent="0.3">
      <c r="A38" t="s">
        <v>270</v>
      </c>
      <c r="B38" s="4">
        <v>45574</v>
      </c>
      <c r="C38" t="s">
        <v>1646</v>
      </c>
      <c r="D38" t="s">
        <v>271</v>
      </c>
      <c r="E38" t="s">
        <v>26</v>
      </c>
      <c r="F38" t="s">
        <v>272</v>
      </c>
      <c r="G38" t="s">
        <v>28</v>
      </c>
      <c r="H38" t="s">
        <v>273</v>
      </c>
      <c r="I38">
        <v>1799</v>
      </c>
      <c r="J38">
        <v>1</v>
      </c>
      <c r="K38" t="s">
        <v>1647</v>
      </c>
      <c r="L38">
        <v>1799</v>
      </c>
      <c r="M38">
        <v>1799</v>
      </c>
      <c r="O38">
        <v>0</v>
      </c>
      <c r="P38">
        <v>0</v>
      </c>
      <c r="Q38" t="s">
        <v>30</v>
      </c>
      <c r="R38" t="s">
        <v>71</v>
      </c>
      <c r="S38" t="s">
        <v>108</v>
      </c>
      <c r="T38" t="s">
        <v>109</v>
      </c>
      <c r="U38" t="s">
        <v>32</v>
      </c>
      <c r="V38" s="4">
        <v>45582</v>
      </c>
      <c r="W38" t="s">
        <v>1648</v>
      </c>
      <c r="X38" t="s">
        <v>1650</v>
      </c>
      <c r="Y38" t="s">
        <v>35</v>
      </c>
      <c r="Z38" t="s">
        <v>49</v>
      </c>
      <c r="AA38" t="s">
        <v>89</v>
      </c>
      <c r="AB38" s="4">
        <v>45608</v>
      </c>
      <c r="AC38" t="s">
        <v>1652</v>
      </c>
      <c r="AD38" t="s">
        <v>1653</v>
      </c>
      <c r="AE38" t="s">
        <v>52</v>
      </c>
    </row>
    <row r="39" spans="1:31" x14ac:dyDescent="0.3">
      <c r="A39" t="s">
        <v>275</v>
      </c>
      <c r="B39" s="4">
        <v>45574</v>
      </c>
      <c r="C39" t="s">
        <v>1646</v>
      </c>
      <c r="D39" t="s">
        <v>276</v>
      </c>
      <c r="E39" t="s">
        <v>40</v>
      </c>
      <c r="F39" t="s">
        <v>277</v>
      </c>
      <c r="G39" t="s">
        <v>67</v>
      </c>
      <c r="H39" t="s">
        <v>278</v>
      </c>
      <c r="I39">
        <v>7999</v>
      </c>
      <c r="J39">
        <v>1</v>
      </c>
      <c r="K39" t="s">
        <v>1647</v>
      </c>
      <c r="L39">
        <v>7999</v>
      </c>
      <c r="M39">
        <v>7999</v>
      </c>
      <c r="O39">
        <v>0</v>
      </c>
      <c r="P39">
        <v>0</v>
      </c>
      <c r="Q39" t="s">
        <v>45</v>
      </c>
      <c r="R39" t="s">
        <v>31</v>
      </c>
      <c r="S39" t="s">
        <v>116</v>
      </c>
      <c r="T39" t="s">
        <v>117</v>
      </c>
      <c r="U39" t="s">
        <v>47</v>
      </c>
      <c r="V39" s="4">
        <v>45583</v>
      </c>
      <c r="W39" t="s">
        <v>1648</v>
      </c>
      <c r="X39" t="s">
        <v>1650</v>
      </c>
      <c r="Y39" t="s">
        <v>35</v>
      </c>
      <c r="Z39" t="s">
        <v>36</v>
      </c>
      <c r="AB39" s="4"/>
      <c r="AC39" t="s">
        <v>1649</v>
      </c>
      <c r="AD39" t="s">
        <v>1651</v>
      </c>
      <c r="AE39" t="s">
        <v>37</v>
      </c>
    </row>
    <row r="40" spans="1:31" x14ac:dyDescent="0.3">
      <c r="A40" t="s">
        <v>279</v>
      </c>
      <c r="B40" s="4">
        <v>45574</v>
      </c>
      <c r="C40" t="s">
        <v>1646</v>
      </c>
      <c r="D40" t="s">
        <v>280</v>
      </c>
      <c r="E40" t="s">
        <v>26</v>
      </c>
      <c r="F40" t="s">
        <v>281</v>
      </c>
      <c r="G40" t="s">
        <v>79</v>
      </c>
      <c r="H40" t="s">
        <v>282</v>
      </c>
      <c r="I40">
        <v>1499</v>
      </c>
      <c r="J40">
        <v>1</v>
      </c>
      <c r="K40" t="s">
        <v>1647</v>
      </c>
      <c r="L40">
        <v>1499</v>
      </c>
      <c r="M40">
        <v>1349.1</v>
      </c>
      <c r="N40" t="s">
        <v>127</v>
      </c>
      <c r="O40">
        <v>10</v>
      </c>
      <c r="P40">
        <v>149.9</v>
      </c>
      <c r="Q40" t="s">
        <v>70</v>
      </c>
      <c r="R40" t="s">
        <v>46</v>
      </c>
      <c r="S40" t="s">
        <v>129</v>
      </c>
      <c r="T40" t="s">
        <v>130</v>
      </c>
      <c r="U40" t="s">
        <v>47</v>
      </c>
      <c r="V40" s="4">
        <v>45582</v>
      </c>
      <c r="W40" t="s">
        <v>1648</v>
      </c>
      <c r="X40" t="s">
        <v>1650</v>
      </c>
      <c r="Y40" t="s">
        <v>35</v>
      </c>
      <c r="Z40" t="s">
        <v>36</v>
      </c>
      <c r="AB40" s="4"/>
      <c r="AC40" t="s">
        <v>1649</v>
      </c>
      <c r="AD40" t="s">
        <v>1651</v>
      </c>
      <c r="AE40" t="s">
        <v>37</v>
      </c>
    </row>
    <row r="41" spans="1:31" x14ac:dyDescent="0.3">
      <c r="A41" t="s">
        <v>283</v>
      </c>
      <c r="B41" s="4">
        <v>45575</v>
      </c>
      <c r="C41" t="s">
        <v>1646</v>
      </c>
      <c r="D41" t="s">
        <v>284</v>
      </c>
      <c r="E41" t="s">
        <v>26</v>
      </c>
      <c r="F41" t="s">
        <v>285</v>
      </c>
      <c r="G41" t="s">
        <v>58</v>
      </c>
      <c r="H41" t="s">
        <v>286</v>
      </c>
      <c r="I41">
        <v>1699</v>
      </c>
      <c r="J41">
        <v>1</v>
      </c>
      <c r="K41" t="s">
        <v>1647</v>
      </c>
      <c r="L41">
        <v>1699</v>
      </c>
      <c r="M41">
        <v>1699</v>
      </c>
      <c r="O41">
        <v>0</v>
      </c>
      <c r="P41">
        <v>0</v>
      </c>
      <c r="Q41" t="s">
        <v>60</v>
      </c>
      <c r="R41" t="s">
        <v>31</v>
      </c>
      <c r="S41" t="s">
        <v>61</v>
      </c>
      <c r="T41" t="s">
        <v>62</v>
      </c>
      <c r="U41" t="s">
        <v>61</v>
      </c>
      <c r="V41" s="4">
        <v>45584</v>
      </c>
      <c r="W41" t="s">
        <v>1648</v>
      </c>
      <c r="X41" t="s">
        <v>1650</v>
      </c>
      <c r="Y41" t="s">
        <v>35</v>
      </c>
      <c r="Z41" t="s">
        <v>49</v>
      </c>
      <c r="AA41" t="s">
        <v>50</v>
      </c>
      <c r="AB41" s="4">
        <v>45606</v>
      </c>
      <c r="AC41" t="s">
        <v>1652</v>
      </c>
      <c r="AD41" t="s">
        <v>1653</v>
      </c>
      <c r="AE41" t="s">
        <v>52</v>
      </c>
    </row>
    <row r="42" spans="1:31" x14ac:dyDescent="0.3">
      <c r="A42" t="s">
        <v>287</v>
      </c>
      <c r="B42" s="4">
        <v>45575</v>
      </c>
      <c r="C42" t="s">
        <v>1646</v>
      </c>
      <c r="D42" t="s">
        <v>288</v>
      </c>
      <c r="E42" t="s">
        <v>26</v>
      </c>
      <c r="F42" t="s">
        <v>289</v>
      </c>
      <c r="G42" t="s">
        <v>42</v>
      </c>
      <c r="H42" t="s">
        <v>290</v>
      </c>
      <c r="I42">
        <v>2299</v>
      </c>
      <c r="J42">
        <v>1</v>
      </c>
      <c r="K42" t="s">
        <v>1647</v>
      </c>
      <c r="L42">
        <v>2299</v>
      </c>
      <c r="M42">
        <v>2299</v>
      </c>
      <c r="O42">
        <v>0</v>
      </c>
      <c r="P42">
        <v>0</v>
      </c>
      <c r="Q42" t="s">
        <v>30</v>
      </c>
      <c r="R42" t="s">
        <v>71</v>
      </c>
      <c r="S42" t="s">
        <v>32</v>
      </c>
      <c r="T42" t="s">
        <v>33</v>
      </c>
      <c r="U42" t="s">
        <v>32</v>
      </c>
      <c r="V42" s="4">
        <v>45583</v>
      </c>
      <c r="W42" t="s">
        <v>1648</v>
      </c>
      <c r="X42" t="s">
        <v>1650</v>
      </c>
      <c r="Y42" t="s">
        <v>35</v>
      </c>
      <c r="Z42" t="s">
        <v>36</v>
      </c>
      <c r="AB42" s="4"/>
      <c r="AC42" t="s">
        <v>1649</v>
      </c>
      <c r="AD42" t="s">
        <v>1651</v>
      </c>
      <c r="AE42" t="s">
        <v>37</v>
      </c>
    </row>
    <row r="43" spans="1:31" x14ac:dyDescent="0.3">
      <c r="A43" t="s">
        <v>291</v>
      </c>
      <c r="B43" s="4">
        <v>45575</v>
      </c>
      <c r="C43" t="s">
        <v>1646</v>
      </c>
      <c r="D43" t="s">
        <v>292</v>
      </c>
      <c r="E43" t="s">
        <v>40</v>
      </c>
      <c r="F43" t="s">
        <v>293</v>
      </c>
      <c r="G43" t="s">
        <v>28</v>
      </c>
      <c r="H43" t="s">
        <v>294</v>
      </c>
      <c r="I43">
        <v>1599</v>
      </c>
      <c r="J43">
        <v>2</v>
      </c>
      <c r="K43" t="s">
        <v>1647</v>
      </c>
      <c r="L43">
        <v>3198</v>
      </c>
      <c r="M43">
        <v>2558.4</v>
      </c>
      <c r="N43" t="s">
        <v>44</v>
      </c>
      <c r="O43">
        <v>20</v>
      </c>
      <c r="P43">
        <v>639.6</v>
      </c>
      <c r="Q43" t="s">
        <v>45</v>
      </c>
      <c r="R43" t="s">
        <v>46</v>
      </c>
      <c r="S43" t="s">
        <v>47</v>
      </c>
      <c r="T43" t="s">
        <v>47</v>
      </c>
      <c r="U43" t="s">
        <v>47</v>
      </c>
      <c r="V43" s="4">
        <v>45582</v>
      </c>
      <c r="W43" t="s">
        <v>1648</v>
      </c>
      <c r="X43" t="s">
        <v>1650</v>
      </c>
      <c r="Y43" t="s">
        <v>35</v>
      </c>
      <c r="Z43" t="s">
        <v>49</v>
      </c>
      <c r="AA43" t="s">
        <v>119</v>
      </c>
      <c r="AB43" s="4">
        <v>45604</v>
      </c>
      <c r="AC43" t="s">
        <v>1652</v>
      </c>
      <c r="AD43" t="s">
        <v>1653</v>
      </c>
      <c r="AE43" t="s">
        <v>52</v>
      </c>
    </row>
    <row r="44" spans="1:31" x14ac:dyDescent="0.3">
      <c r="A44" t="s">
        <v>295</v>
      </c>
      <c r="B44" s="4">
        <v>45575</v>
      </c>
      <c r="C44" t="s">
        <v>1646</v>
      </c>
      <c r="D44" t="s">
        <v>296</v>
      </c>
      <c r="E44" t="s">
        <v>26</v>
      </c>
      <c r="F44" t="s">
        <v>297</v>
      </c>
      <c r="G44" t="s">
        <v>67</v>
      </c>
      <c r="H44" t="s">
        <v>298</v>
      </c>
      <c r="I44">
        <v>2499</v>
      </c>
      <c r="J44">
        <v>1</v>
      </c>
      <c r="K44" t="s">
        <v>1647</v>
      </c>
      <c r="L44">
        <v>2499</v>
      </c>
      <c r="M44">
        <v>2499</v>
      </c>
      <c r="O44">
        <v>0</v>
      </c>
      <c r="P44">
        <v>0</v>
      </c>
      <c r="Q44" t="s">
        <v>128</v>
      </c>
      <c r="R44" t="s">
        <v>31</v>
      </c>
      <c r="S44" t="s">
        <v>135</v>
      </c>
      <c r="T44" t="s">
        <v>136</v>
      </c>
      <c r="U44" t="s">
        <v>47</v>
      </c>
      <c r="V44" s="4">
        <v>45585</v>
      </c>
      <c r="W44" t="s">
        <v>1648</v>
      </c>
      <c r="X44" t="s">
        <v>1650</v>
      </c>
      <c r="Y44" t="s">
        <v>35</v>
      </c>
      <c r="Z44" t="s">
        <v>36</v>
      </c>
      <c r="AB44" s="4"/>
      <c r="AC44" t="s">
        <v>1649</v>
      </c>
      <c r="AD44" t="s">
        <v>1651</v>
      </c>
      <c r="AE44" t="s">
        <v>37</v>
      </c>
    </row>
    <row r="45" spans="1:31" x14ac:dyDescent="0.3">
      <c r="A45" t="s">
        <v>299</v>
      </c>
      <c r="B45" s="4">
        <v>45576</v>
      </c>
      <c r="C45" t="s">
        <v>1646</v>
      </c>
      <c r="D45" t="s">
        <v>300</v>
      </c>
      <c r="E45" t="s">
        <v>26</v>
      </c>
      <c r="F45" t="s">
        <v>301</v>
      </c>
      <c r="G45" t="s">
        <v>79</v>
      </c>
      <c r="H45" t="s">
        <v>302</v>
      </c>
      <c r="I45">
        <v>1899</v>
      </c>
      <c r="J45">
        <v>1</v>
      </c>
      <c r="K45" t="s">
        <v>1647</v>
      </c>
      <c r="L45">
        <v>1899</v>
      </c>
      <c r="M45">
        <v>1899</v>
      </c>
      <c r="O45">
        <v>0</v>
      </c>
      <c r="P45">
        <v>0</v>
      </c>
      <c r="Q45" t="s">
        <v>70</v>
      </c>
      <c r="R45" t="s">
        <v>71</v>
      </c>
      <c r="S45" t="s">
        <v>156</v>
      </c>
      <c r="T45" t="s">
        <v>130</v>
      </c>
      <c r="U45" t="s">
        <v>47</v>
      </c>
      <c r="V45" s="4">
        <v>45586</v>
      </c>
      <c r="W45" t="s">
        <v>1648</v>
      </c>
      <c r="X45" t="s">
        <v>1650</v>
      </c>
      <c r="Y45" t="s">
        <v>35</v>
      </c>
      <c r="Z45" t="s">
        <v>49</v>
      </c>
      <c r="AA45" t="s">
        <v>158</v>
      </c>
      <c r="AB45" s="4">
        <v>45608</v>
      </c>
      <c r="AC45" t="s">
        <v>1652</v>
      </c>
      <c r="AD45" t="s">
        <v>1653</v>
      </c>
      <c r="AE45" t="s">
        <v>52</v>
      </c>
    </row>
    <row r="46" spans="1:31" x14ac:dyDescent="0.3">
      <c r="A46" t="s">
        <v>303</v>
      </c>
      <c r="B46" s="4">
        <v>45576</v>
      </c>
      <c r="C46" t="s">
        <v>1646</v>
      </c>
      <c r="D46" t="s">
        <v>304</v>
      </c>
      <c r="E46" t="s">
        <v>26</v>
      </c>
      <c r="F46" t="s">
        <v>305</v>
      </c>
      <c r="G46" t="s">
        <v>58</v>
      </c>
      <c r="H46" t="s">
        <v>306</v>
      </c>
      <c r="I46">
        <v>1999</v>
      </c>
      <c r="J46">
        <v>1</v>
      </c>
      <c r="K46" t="s">
        <v>1647</v>
      </c>
      <c r="L46">
        <v>1999</v>
      </c>
      <c r="M46">
        <v>1699.15</v>
      </c>
      <c r="N46" t="s">
        <v>69</v>
      </c>
      <c r="O46">
        <v>15</v>
      </c>
      <c r="P46">
        <v>299.85000000000002</v>
      </c>
      <c r="Q46" t="s">
        <v>30</v>
      </c>
      <c r="R46" t="s">
        <v>46</v>
      </c>
      <c r="S46" t="s">
        <v>164</v>
      </c>
      <c r="T46" t="s">
        <v>165</v>
      </c>
      <c r="U46" t="s">
        <v>47</v>
      </c>
      <c r="V46" s="4">
        <v>45584</v>
      </c>
      <c r="W46" t="s">
        <v>1648</v>
      </c>
      <c r="X46" t="s">
        <v>1650</v>
      </c>
      <c r="Y46" t="s">
        <v>35</v>
      </c>
      <c r="Z46" t="s">
        <v>36</v>
      </c>
      <c r="AB46" s="4"/>
      <c r="AC46" t="s">
        <v>1649</v>
      </c>
      <c r="AD46" t="s">
        <v>1651</v>
      </c>
      <c r="AE46" t="s">
        <v>37</v>
      </c>
    </row>
    <row r="47" spans="1:31" x14ac:dyDescent="0.3">
      <c r="A47" t="s">
        <v>307</v>
      </c>
      <c r="B47" s="4">
        <v>45576</v>
      </c>
      <c r="C47" t="s">
        <v>1646</v>
      </c>
      <c r="D47" t="s">
        <v>308</v>
      </c>
      <c r="E47" t="s">
        <v>40</v>
      </c>
      <c r="F47" t="s">
        <v>309</v>
      </c>
      <c r="G47" t="s">
        <v>42</v>
      </c>
      <c r="H47" t="s">
        <v>310</v>
      </c>
      <c r="I47">
        <v>2599</v>
      </c>
      <c r="J47">
        <v>1</v>
      </c>
      <c r="K47" t="s">
        <v>1647</v>
      </c>
      <c r="L47">
        <v>2599</v>
      </c>
      <c r="M47">
        <v>2599</v>
      </c>
      <c r="O47">
        <v>0</v>
      </c>
      <c r="P47">
        <v>0</v>
      </c>
      <c r="Q47" t="s">
        <v>45</v>
      </c>
      <c r="R47" t="s">
        <v>31</v>
      </c>
      <c r="S47" t="s">
        <v>171</v>
      </c>
      <c r="T47" t="s">
        <v>172</v>
      </c>
      <c r="U47" t="s">
        <v>32</v>
      </c>
      <c r="V47" s="4">
        <v>45585</v>
      </c>
      <c r="W47" t="s">
        <v>1648</v>
      </c>
      <c r="X47" t="s">
        <v>1650</v>
      </c>
      <c r="Y47" t="s">
        <v>35</v>
      </c>
      <c r="Z47" t="s">
        <v>36</v>
      </c>
      <c r="AB47" s="4"/>
      <c r="AC47" t="s">
        <v>1649</v>
      </c>
      <c r="AD47" t="s">
        <v>1651</v>
      </c>
      <c r="AE47" t="s">
        <v>37</v>
      </c>
    </row>
    <row r="48" spans="1:31" x14ac:dyDescent="0.3">
      <c r="A48" t="s">
        <v>311</v>
      </c>
      <c r="B48" s="4">
        <v>45576</v>
      </c>
      <c r="C48" t="s">
        <v>1646</v>
      </c>
      <c r="D48" t="s">
        <v>312</v>
      </c>
      <c r="E48" t="s">
        <v>26</v>
      </c>
      <c r="F48" t="s">
        <v>313</v>
      </c>
      <c r="G48" t="s">
        <v>28</v>
      </c>
      <c r="H48" t="s">
        <v>314</v>
      </c>
      <c r="I48">
        <v>1299</v>
      </c>
      <c r="J48">
        <v>1</v>
      </c>
      <c r="K48" t="s">
        <v>1647</v>
      </c>
      <c r="L48">
        <v>1299</v>
      </c>
      <c r="M48">
        <v>1299</v>
      </c>
      <c r="O48">
        <v>0</v>
      </c>
      <c r="P48">
        <v>0</v>
      </c>
      <c r="Q48" t="s">
        <v>60</v>
      </c>
      <c r="R48" t="s">
        <v>71</v>
      </c>
      <c r="S48" t="s">
        <v>177</v>
      </c>
      <c r="T48" t="s">
        <v>109</v>
      </c>
      <c r="U48" t="s">
        <v>32</v>
      </c>
      <c r="V48" s="4"/>
      <c r="W48" t="s">
        <v>1656</v>
      </c>
      <c r="X48" t="s">
        <v>1657</v>
      </c>
      <c r="Y48" t="s">
        <v>137</v>
      </c>
      <c r="Z48" t="s">
        <v>36</v>
      </c>
      <c r="AB48" s="4"/>
      <c r="AC48" t="s">
        <v>1656</v>
      </c>
      <c r="AD48" t="s">
        <v>1651</v>
      </c>
      <c r="AE48" t="s">
        <v>37</v>
      </c>
    </row>
    <row r="49" spans="1:31" x14ac:dyDescent="0.3">
      <c r="A49" t="s">
        <v>315</v>
      </c>
      <c r="B49" s="4">
        <v>45577</v>
      </c>
      <c r="C49" t="s">
        <v>1646</v>
      </c>
      <c r="D49" t="s">
        <v>316</v>
      </c>
      <c r="E49" t="s">
        <v>26</v>
      </c>
      <c r="F49" t="s">
        <v>317</v>
      </c>
      <c r="G49" t="s">
        <v>67</v>
      </c>
      <c r="H49" t="s">
        <v>318</v>
      </c>
      <c r="I49">
        <v>5999</v>
      </c>
      <c r="J49">
        <v>1</v>
      </c>
      <c r="K49" t="s">
        <v>1647</v>
      </c>
      <c r="L49">
        <v>5999</v>
      </c>
      <c r="M49">
        <v>4799.2</v>
      </c>
      <c r="N49" t="s">
        <v>44</v>
      </c>
      <c r="O49">
        <v>20</v>
      </c>
      <c r="P49">
        <v>1199.8</v>
      </c>
      <c r="Q49" t="s">
        <v>45</v>
      </c>
      <c r="R49" t="s">
        <v>46</v>
      </c>
      <c r="S49" t="s">
        <v>184</v>
      </c>
      <c r="T49" t="s">
        <v>185</v>
      </c>
      <c r="U49" t="s">
        <v>47</v>
      </c>
      <c r="V49" s="4">
        <v>45587</v>
      </c>
      <c r="W49" t="s">
        <v>1648</v>
      </c>
      <c r="X49" t="s">
        <v>1650</v>
      </c>
      <c r="Y49" t="s">
        <v>35</v>
      </c>
      <c r="Z49" t="s">
        <v>49</v>
      </c>
      <c r="AA49" t="s">
        <v>50</v>
      </c>
      <c r="AB49" s="4">
        <v>45611</v>
      </c>
      <c r="AC49" t="s">
        <v>1652</v>
      </c>
      <c r="AD49" t="s">
        <v>1653</v>
      </c>
      <c r="AE49" t="s">
        <v>52</v>
      </c>
    </row>
    <row r="50" spans="1:31" x14ac:dyDescent="0.3">
      <c r="A50" t="s">
        <v>320</v>
      </c>
      <c r="B50" s="4">
        <v>45577</v>
      </c>
      <c r="C50" t="s">
        <v>1646</v>
      </c>
      <c r="D50" t="s">
        <v>321</v>
      </c>
      <c r="E50" t="s">
        <v>26</v>
      </c>
      <c r="F50" t="s">
        <v>322</v>
      </c>
      <c r="G50" t="s">
        <v>79</v>
      </c>
      <c r="H50" t="s">
        <v>323</v>
      </c>
      <c r="I50">
        <v>799</v>
      </c>
      <c r="J50">
        <v>2</v>
      </c>
      <c r="K50" t="s">
        <v>1647</v>
      </c>
      <c r="L50">
        <v>1598</v>
      </c>
      <c r="M50">
        <v>1598</v>
      </c>
      <c r="O50">
        <v>0</v>
      </c>
      <c r="P50">
        <v>0</v>
      </c>
      <c r="Q50" t="s">
        <v>30</v>
      </c>
      <c r="R50" t="s">
        <v>31</v>
      </c>
      <c r="S50" t="s">
        <v>190</v>
      </c>
      <c r="T50" t="s">
        <v>172</v>
      </c>
      <c r="U50" t="s">
        <v>32</v>
      </c>
      <c r="V50" s="4">
        <v>45585</v>
      </c>
      <c r="W50" t="s">
        <v>1648</v>
      </c>
      <c r="X50" t="s">
        <v>1650</v>
      </c>
      <c r="Y50" t="s">
        <v>35</v>
      </c>
      <c r="Z50" t="s">
        <v>36</v>
      </c>
      <c r="AB50" s="4"/>
      <c r="AC50" t="s">
        <v>1649</v>
      </c>
      <c r="AD50" t="s">
        <v>1651</v>
      </c>
      <c r="AE50" t="s">
        <v>37</v>
      </c>
    </row>
    <row r="51" spans="1:31" x14ac:dyDescent="0.3">
      <c r="A51" t="s">
        <v>324</v>
      </c>
      <c r="B51" s="4">
        <v>45577</v>
      </c>
      <c r="C51" t="s">
        <v>1646</v>
      </c>
      <c r="D51" t="s">
        <v>325</v>
      </c>
      <c r="E51" t="s">
        <v>40</v>
      </c>
      <c r="F51" t="s">
        <v>326</v>
      </c>
      <c r="G51" t="s">
        <v>58</v>
      </c>
      <c r="H51" t="s">
        <v>327</v>
      </c>
      <c r="I51">
        <v>999</v>
      </c>
      <c r="J51">
        <v>2</v>
      </c>
      <c r="K51" t="s">
        <v>1647</v>
      </c>
      <c r="L51">
        <v>1998</v>
      </c>
      <c r="M51">
        <v>1998</v>
      </c>
      <c r="O51">
        <v>0</v>
      </c>
      <c r="P51">
        <v>0</v>
      </c>
      <c r="Q51" t="s">
        <v>128</v>
      </c>
      <c r="R51" t="s">
        <v>46</v>
      </c>
      <c r="S51" t="s">
        <v>195</v>
      </c>
      <c r="T51" t="s">
        <v>33</v>
      </c>
      <c r="U51" t="s">
        <v>32</v>
      </c>
      <c r="V51" s="4">
        <v>45584</v>
      </c>
      <c r="W51" t="s">
        <v>1648</v>
      </c>
      <c r="X51" t="s">
        <v>1650</v>
      </c>
      <c r="Y51" t="s">
        <v>35</v>
      </c>
      <c r="Z51" t="s">
        <v>36</v>
      </c>
      <c r="AB51" s="4"/>
      <c r="AC51" t="s">
        <v>1649</v>
      </c>
      <c r="AD51" t="s">
        <v>1651</v>
      </c>
      <c r="AE51" t="s">
        <v>37</v>
      </c>
    </row>
    <row r="52" spans="1:31" x14ac:dyDescent="0.3">
      <c r="A52" t="s">
        <v>328</v>
      </c>
      <c r="B52" s="4">
        <v>45577</v>
      </c>
      <c r="C52" t="s">
        <v>1646</v>
      </c>
      <c r="D52" t="s">
        <v>329</v>
      </c>
      <c r="E52" t="s">
        <v>26</v>
      </c>
      <c r="F52" t="s">
        <v>330</v>
      </c>
      <c r="G52" t="s">
        <v>42</v>
      </c>
      <c r="H52" t="s">
        <v>331</v>
      </c>
      <c r="I52">
        <v>1899</v>
      </c>
      <c r="J52">
        <v>1</v>
      </c>
      <c r="K52" t="s">
        <v>1647</v>
      </c>
      <c r="L52">
        <v>1899</v>
      </c>
      <c r="M52">
        <v>1899</v>
      </c>
      <c r="O52">
        <v>0</v>
      </c>
      <c r="P52">
        <v>0</v>
      </c>
      <c r="Q52" t="s">
        <v>70</v>
      </c>
      <c r="R52" t="s">
        <v>71</v>
      </c>
      <c r="S52" t="s">
        <v>202</v>
      </c>
      <c r="T52" t="s">
        <v>73</v>
      </c>
      <c r="U52" t="s">
        <v>61</v>
      </c>
      <c r="V52" s="4">
        <v>45587</v>
      </c>
      <c r="W52" t="s">
        <v>1648</v>
      </c>
      <c r="X52" t="s">
        <v>1650</v>
      </c>
      <c r="Y52" t="s">
        <v>35</v>
      </c>
      <c r="Z52" t="s">
        <v>49</v>
      </c>
      <c r="AA52" t="s">
        <v>75</v>
      </c>
      <c r="AB52" s="4">
        <v>45610</v>
      </c>
      <c r="AC52" t="s">
        <v>1652</v>
      </c>
      <c r="AD52" t="s">
        <v>1653</v>
      </c>
      <c r="AE52" t="s">
        <v>52</v>
      </c>
    </row>
    <row r="53" spans="1:31" x14ac:dyDescent="0.3">
      <c r="A53" t="s">
        <v>333</v>
      </c>
      <c r="B53" s="4">
        <v>45578</v>
      </c>
      <c r="C53" t="s">
        <v>1646</v>
      </c>
      <c r="D53" t="s">
        <v>334</v>
      </c>
      <c r="E53" t="s">
        <v>26</v>
      </c>
      <c r="F53" t="s">
        <v>335</v>
      </c>
      <c r="G53" t="s">
        <v>28</v>
      </c>
      <c r="H53" t="s">
        <v>336</v>
      </c>
      <c r="I53">
        <v>1699</v>
      </c>
      <c r="J53">
        <v>1</v>
      </c>
      <c r="K53" t="s">
        <v>1647</v>
      </c>
      <c r="L53">
        <v>1699</v>
      </c>
      <c r="M53">
        <v>1529.1</v>
      </c>
      <c r="N53" t="s">
        <v>127</v>
      </c>
      <c r="O53">
        <v>10</v>
      </c>
      <c r="P53">
        <v>169.9</v>
      </c>
      <c r="Q53" t="s">
        <v>45</v>
      </c>
      <c r="R53" t="s">
        <v>31</v>
      </c>
      <c r="S53" t="s">
        <v>208</v>
      </c>
      <c r="T53" t="s">
        <v>209</v>
      </c>
      <c r="U53" t="s">
        <v>61</v>
      </c>
      <c r="V53" s="4">
        <v>45586</v>
      </c>
      <c r="W53" t="s">
        <v>1648</v>
      </c>
      <c r="X53" t="s">
        <v>1650</v>
      </c>
      <c r="Y53" t="s">
        <v>35</v>
      </c>
      <c r="Z53" t="s">
        <v>36</v>
      </c>
      <c r="AB53" s="4"/>
      <c r="AC53" t="s">
        <v>1649</v>
      </c>
      <c r="AD53" t="s">
        <v>1651</v>
      </c>
      <c r="AE53" t="s">
        <v>37</v>
      </c>
    </row>
    <row r="54" spans="1:31" x14ac:dyDescent="0.3">
      <c r="A54" t="s">
        <v>337</v>
      </c>
      <c r="B54" s="4">
        <v>45578</v>
      </c>
      <c r="C54" t="s">
        <v>1646</v>
      </c>
      <c r="D54" t="s">
        <v>338</v>
      </c>
      <c r="E54" t="s">
        <v>26</v>
      </c>
      <c r="F54" t="s">
        <v>339</v>
      </c>
      <c r="G54" t="s">
        <v>67</v>
      </c>
      <c r="H54" t="s">
        <v>340</v>
      </c>
      <c r="I54">
        <v>3799</v>
      </c>
      <c r="J54">
        <v>1</v>
      </c>
      <c r="K54" t="s">
        <v>1647</v>
      </c>
      <c r="L54">
        <v>3799</v>
      </c>
      <c r="M54">
        <v>3799</v>
      </c>
      <c r="O54">
        <v>0</v>
      </c>
      <c r="P54">
        <v>0</v>
      </c>
      <c r="Q54" t="s">
        <v>30</v>
      </c>
      <c r="R54" t="s">
        <v>46</v>
      </c>
      <c r="S54" t="s">
        <v>215</v>
      </c>
      <c r="T54" t="s">
        <v>216</v>
      </c>
      <c r="U54" t="s">
        <v>61</v>
      </c>
      <c r="V54" s="4">
        <v>45588</v>
      </c>
      <c r="W54" t="s">
        <v>1648</v>
      </c>
      <c r="X54" t="s">
        <v>1650</v>
      </c>
      <c r="Y54" t="s">
        <v>35</v>
      </c>
      <c r="Z54" t="s">
        <v>49</v>
      </c>
      <c r="AA54" t="s">
        <v>50</v>
      </c>
      <c r="AB54" s="4">
        <v>45614</v>
      </c>
      <c r="AC54" t="s">
        <v>1652</v>
      </c>
      <c r="AD54" t="s">
        <v>1653</v>
      </c>
      <c r="AE54" t="s">
        <v>52</v>
      </c>
    </row>
    <row r="55" spans="1:31" x14ac:dyDescent="0.3">
      <c r="A55" t="s">
        <v>343</v>
      </c>
      <c r="B55" s="4">
        <v>45578</v>
      </c>
      <c r="C55" t="s">
        <v>1646</v>
      </c>
      <c r="D55" t="s">
        <v>344</v>
      </c>
      <c r="E55" t="s">
        <v>40</v>
      </c>
      <c r="F55" t="s">
        <v>345</v>
      </c>
      <c r="G55" t="s">
        <v>79</v>
      </c>
      <c r="H55" t="s">
        <v>346</v>
      </c>
      <c r="I55">
        <v>1299</v>
      </c>
      <c r="J55">
        <v>1</v>
      </c>
      <c r="K55" t="s">
        <v>1647</v>
      </c>
      <c r="L55">
        <v>1299</v>
      </c>
      <c r="M55">
        <v>1299</v>
      </c>
      <c r="O55">
        <v>0</v>
      </c>
      <c r="P55">
        <v>0</v>
      </c>
      <c r="Q55" t="s">
        <v>60</v>
      </c>
      <c r="R55" t="s">
        <v>71</v>
      </c>
      <c r="S55" t="s">
        <v>221</v>
      </c>
      <c r="T55" t="s">
        <v>209</v>
      </c>
      <c r="U55" t="s">
        <v>61</v>
      </c>
      <c r="V55" s="4">
        <v>45587</v>
      </c>
      <c r="W55" t="s">
        <v>1648</v>
      </c>
      <c r="X55" t="s">
        <v>1650</v>
      </c>
      <c r="Y55" t="s">
        <v>35</v>
      </c>
      <c r="Z55" t="s">
        <v>36</v>
      </c>
      <c r="AB55" s="4"/>
      <c r="AC55" t="s">
        <v>1649</v>
      </c>
      <c r="AD55" t="s">
        <v>1651</v>
      </c>
      <c r="AE55" t="s">
        <v>37</v>
      </c>
    </row>
    <row r="56" spans="1:31" x14ac:dyDescent="0.3">
      <c r="A56" t="s">
        <v>347</v>
      </c>
      <c r="B56" s="4">
        <v>45578</v>
      </c>
      <c r="C56" t="s">
        <v>1646</v>
      </c>
      <c r="D56" t="s">
        <v>348</v>
      </c>
      <c r="E56" t="s">
        <v>26</v>
      </c>
      <c r="F56" t="s">
        <v>349</v>
      </c>
      <c r="G56" t="s">
        <v>58</v>
      </c>
      <c r="H56" t="s">
        <v>350</v>
      </c>
      <c r="I56">
        <v>2099</v>
      </c>
      <c r="J56">
        <v>1</v>
      </c>
      <c r="K56" t="s">
        <v>1647</v>
      </c>
      <c r="L56">
        <v>2099</v>
      </c>
      <c r="M56">
        <v>1679.2</v>
      </c>
      <c r="N56" t="s">
        <v>44</v>
      </c>
      <c r="O56">
        <v>20</v>
      </c>
      <c r="P56">
        <v>419.8</v>
      </c>
      <c r="Q56" t="s">
        <v>45</v>
      </c>
      <c r="R56" t="s">
        <v>31</v>
      </c>
      <c r="S56" t="s">
        <v>226</v>
      </c>
      <c r="T56" t="s">
        <v>62</v>
      </c>
      <c r="U56" t="s">
        <v>61</v>
      </c>
      <c r="V56" s="4">
        <v>45589</v>
      </c>
      <c r="W56" t="s">
        <v>1648</v>
      </c>
      <c r="X56" t="s">
        <v>1650</v>
      </c>
      <c r="Y56" t="s">
        <v>35</v>
      </c>
      <c r="Z56" t="s">
        <v>36</v>
      </c>
      <c r="AB56" s="4"/>
      <c r="AC56" t="s">
        <v>1649</v>
      </c>
      <c r="AD56" t="s">
        <v>1651</v>
      </c>
      <c r="AE56" t="s">
        <v>37</v>
      </c>
    </row>
    <row r="57" spans="1:31" x14ac:dyDescent="0.3">
      <c r="A57" t="s">
        <v>352</v>
      </c>
      <c r="B57" s="4">
        <v>45579</v>
      </c>
      <c r="C57" t="s">
        <v>1646</v>
      </c>
      <c r="D57" t="s">
        <v>353</v>
      </c>
      <c r="E57" t="s">
        <v>26</v>
      </c>
      <c r="F57" t="s">
        <v>354</v>
      </c>
      <c r="G57" t="s">
        <v>42</v>
      </c>
      <c r="H57" t="s">
        <v>355</v>
      </c>
      <c r="I57">
        <v>2799</v>
      </c>
      <c r="J57">
        <v>1</v>
      </c>
      <c r="K57" t="s">
        <v>1647</v>
      </c>
      <c r="L57">
        <v>2799</v>
      </c>
      <c r="M57">
        <v>2799</v>
      </c>
      <c r="O57">
        <v>0</v>
      </c>
      <c r="P57">
        <v>0</v>
      </c>
      <c r="Q57" t="s">
        <v>70</v>
      </c>
      <c r="R57" t="s">
        <v>46</v>
      </c>
      <c r="S57" t="s">
        <v>233</v>
      </c>
      <c r="T57" t="s">
        <v>109</v>
      </c>
      <c r="U57" t="s">
        <v>32</v>
      </c>
      <c r="V57" s="4">
        <v>45588</v>
      </c>
      <c r="W57" t="s">
        <v>1648</v>
      </c>
      <c r="X57" t="s">
        <v>1650</v>
      </c>
      <c r="Y57" t="s">
        <v>35</v>
      </c>
      <c r="Z57" t="s">
        <v>49</v>
      </c>
      <c r="AA57" t="s">
        <v>89</v>
      </c>
      <c r="AB57" s="4">
        <v>45612</v>
      </c>
      <c r="AC57" t="s">
        <v>1652</v>
      </c>
      <c r="AD57" t="s">
        <v>1653</v>
      </c>
      <c r="AE57" t="s">
        <v>52</v>
      </c>
    </row>
    <row r="58" spans="1:31" x14ac:dyDescent="0.3">
      <c r="A58" t="s">
        <v>357</v>
      </c>
      <c r="B58" s="4">
        <v>45579</v>
      </c>
      <c r="C58" t="s">
        <v>1646</v>
      </c>
      <c r="D58" t="s">
        <v>358</v>
      </c>
      <c r="E58" t="s">
        <v>26</v>
      </c>
      <c r="F58" t="s">
        <v>359</v>
      </c>
      <c r="G58" t="s">
        <v>28</v>
      </c>
      <c r="H58" t="s">
        <v>360</v>
      </c>
      <c r="I58">
        <v>1499</v>
      </c>
      <c r="J58">
        <v>1</v>
      </c>
      <c r="K58" t="s">
        <v>1647</v>
      </c>
      <c r="L58">
        <v>1499</v>
      </c>
      <c r="M58">
        <v>1499</v>
      </c>
      <c r="O58">
        <v>0</v>
      </c>
      <c r="P58">
        <v>0</v>
      </c>
      <c r="Q58" t="s">
        <v>128</v>
      </c>
      <c r="R58" t="s">
        <v>31</v>
      </c>
      <c r="S58" t="s">
        <v>238</v>
      </c>
      <c r="T58" t="s">
        <v>109</v>
      </c>
      <c r="U58" t="s">
        <v>32</v>
      </c>
      <c r="V58" s="4">
        <v>45587</v>
      </c>
      <c r="W58" t="s">
        <v>1648</v>
      </c>
      <c r="X58" t="s">
        <v>1650</v>
      </c>
      <c r="Y58" t="s">
        <v>35</v>
      </c>
      <c r="Z58" t="s">
        <v>36</v>
      </c>
      <c r="AB58" s="4"/>
      <c r="AC58" t="s">
        <v>1649</v>
      </c>
      <c r="AD58" t="s">
        <v>1651</v>
      </c>
      <c r="AE58" t="s">
        <v>37</v>
      </c>
    </row>
    <row r="59" spans="1:31" x14ac:dyDescent="0.3">
      <c r="A59" t="s">
        <v>361</v>
      </c>
      <c r="B59" s="4">
        <v>45579</v>
      </c>
      <c r="C59" t="s">
        <v>1646</v>
      </c>
      <c r="D59" t="s">
        <v>362</v>
      </c>
      <c r="E59" t="s">
        <v>40</v>
      </c>
      <c r="F59" t="s">
        <v>363</v>
      </c>
      <c r="G59" t="s">
        <v>67</v>
      </c>
      <c r="H59" t="s">
        <v>364</v>
      </c>
      <c r="I59">
        <v>4499</v>
      </c>
      <c r="J59">
        <v>1</v>
      </c>
      <c r="K59" t="s">
        <v>1647</v>
      </c>
      <c r="L59">
        <v>4499</v>
      </c>
      <c r="M59">
        <v>3824.15</v>
      </c>
      <c r="N59" t="s">
        <v>69</v>
      </c>
      <c r="O59">
        <v>15</v>
      </c>
      <c r="P59">
        <v>674.85</v>
      </c>
      <c r="Q59" t="s">
        <v>30</v>
      </c>
      <c r="R59" t="s">
        <v>71</v>
      </c>
      <c r="S59" t="s">
        <v>243</v>
      </c>
      <c r="T59" t="s">
        <v>130</v>
      </c>
      <c r="U59" t="s">
        <v>47</v>
      </c>
      <c r="V59" s="4">
        <v>45590</v>
      </c>
      <c r="W59" t="s">
        <v>1648</v>
      </c>
      <c r="X59" t="s">
        <v>1650</v>
      </c>
      <c r="Y59" t="s">
        <v>35</v>
      </c>
      <c r="Z59" t="s">
        <v>49</v>
      </c>
      <c r="AA59" t="s">
        <v>119</v>
      </c>
      <c r="AB59" s="4">
        <v>45616</v>
      </c>
      <c r="AC59" t="s">
        <v>1652</v>
      </c>
      <c r="AD59" t="s">
        <v>1653</v>
      </c>
      <c r="AE59" t="s">
        <v>52</v>
      </c>
    </row>
    <row r="60" spans="1:31" x14ac:dyDescent="0.3">
      <c r="A60" t="s">
        <v>366</v>
      </c>
      <c r="B60" s="4">
        <v>45579</v>
      </c>
      <c r="C60" t="s">
        <v>1646</v>
      </c>
      <c r="D60" t="s">
        <v>367</v>
      </c>
      <c r="E60" t="s">
        <v>26</v>
      </c>
      <c r="F60" t="s">
        <v>368</v>
      </c>
      <c r="G60" t="s">
        <v>79</v>
      </c>
      <c r="H60" t="s">
        <v>369</v>
      </c>
      <c r="I60">
        <v>899</v>
      </c>
      <c r="J60">
        <v>1</v>
      </c>
      <c r="K60" t="s">
        <v>1647</v>
      </c>
      <c r="L60">
        <v>899</v>
      </c>
      <c r="M60">
        <v>899</v>
      </c>
      <c r="O60">
        <v>0</v>
      </c>
      <c r="P60">
        <v>0</v>
      </c>
      <c r="Q60" t="s">
        <v>45</v>
      </c>
      <c r="R60" t="s">
        <v>46</v>
      </c>
      <c r="S60" t="s">
        <v>32</v>
      </c>
      <c r="T60" t="s">
        <v>33</v>
      </c>
      <c r="U60" t="s">
        <v>32</v>
      </c>
      <c r="V60" s="4">
        <v>45588</v>
      </c>
      <c r="W60" t="s">
        <v>1648</v>
      </c>
      <c r="X60" t="s">
        <v>1650</v>
      </c>
      <c r="Y60" t="s">
        <v>35</v>
      </c>
      <c r="Z60" t="s">
        <v>36</v>
      </c>
      <c r="AB60" s="4"/>
      <c r="AC60" t="s">
        <v>1649</v>
      </c>
      <c r="AD60" t="s">
        <v>1651</v>
      </c>
      <c r="AE60" t="s">
        <v>37</v>
      </c>
    </row>
    <row r="61" spans="1:31" x14ac:dyDescent="0.3">
      <c r="A61" t="s">
        <v>370</v>
      </c>
      <c r="B61" s="4">
        <v>45580</v>
      </c>
      <c r="C61" t="s">
        <v>1646</v>
      </c>
      <c r="D61" t="s">
        <v>371</v>
      </c>
      <c r="E61" t="s">
        <v>26</v>
      </c>
      <c r="F61" t="s">
        <v>372</v>
      </c>
      <c r="G61" t="s">
        <v>58</v>
      </c>
      <c r="H61" t="s">
        <v>373</v>
      </c>
      <c r="I61">
        <v>1799</v>
      </c>
      <c r="J61">
        <v>1</v>
      </c>
      <c r="K61" t="s">
        <v>1647</v>
      </c>
      <c r="L61">
        <v>1799</v>
      </c>
      <c r="M61">
        <v>1799</v>
      </c>
      <c r="O61">
        <v>0</v>
      </c>
      <c r="P61">
        <v>0</v>
      </c>
      <c r="Q61" t="s">
        <v>60</v>
      </c>
      <c r="R61" t="s">
        <v>31</v>
      </c>
      <c r="S61" t="s">
        <v>47</v>
      </c>
      <c r="T61" t="s">
        <v>47</v>
      </c>
      <c r="U61" t="s">
        <v>47</v>
      </c>
      <c r="V61" s="4"/>
      <c r="W61" t="s">
        <v>1656</v>
      </c>
      <c r="X61" t="s">
        <v>1657</v>
      </c>
      <c r="Y61" t="s">
        <v>137</v>
      </c>
      <c r="Z61" t="s">
        <v>36</v>
      </c>
      <c r="AB61" s="4"/>
      <c r="AC61" t="s">
        <v>1656</v>
      </c>
      <c r="AD61" t="s">
        <v>1651</v>
      </c>
      <c r="AE61" t="s">
        <v>37</v>
      </c>
    </row>
    <row r="62" spans="1:31" x14ac:dyDescent="0.3">
      <c r="A62" t="s">
        <v>374</v>
      </c>
      <c r="B62" s="4">
        <v>45580</v>
      </c>
      <c r="C62" t="s">
        <v>1646</v>
      </c>
      <c r="D62" t="s">
        <v>375</v>
      </c>
      <c r="E62" t="s">
        <v>26</v>
      </c>
      <c r="F62" t="s">
        <v>376</v>
      </c>
      <c r="G62" t="s">
        <v>42</v>
      </c>
      <c r="H62" t="s">
        <v>377</v>
      </c>
      <c r="I62">
        <v>2199</v>
      </c>
      <c r="J62">
        <v>1</v>
      </c>
      <c r="K62" t="s">
        <v>1647</v>
      </c>
      <c r="L62">
        <v>2199</v>
      </c>
      <c r="M62">
        <v>1759.2</v>
      </c>
      <c r="N62" t="s">
        <v>44</v>
      </c>
      <c r="O62">
        <v>20</v>
      </c>
      <c r="P62">
        <v>439.8</v>
      </c>
      <c r="Q62" t="s">
        <v>70</v>
      </c>
      <c r="R62" t="s">
        <v>71</v>
      </c>
      <c r="S62" t="s">
        <v>101</v>
      </c>
      <c r="T62" t="s">
        <v>102</v>
      </c>
      <c r="U62" t="s">
        <v>47</v>
      </c>
      <c r="V62" s="4">
        <v>45591</v>
      </c>
      <c r="W62" t="s">
        <v>1648</v>
      </c>
      <c r="X62" t="s">
        <v>1650</v>
      </c>
      <c r="Y62" t="s">
        <v>35</v>
      </c>
      <c r="Z62" t="s">
        <v>49</v>
      </c>
      <c r="AA62" t="s">
        <v>50</v>
      </c>
      <c r="AB62" s="4">
        <v>45618</v>
      </c>
      <c r="AC62" t="s">
        <v>1652</v>
      </c>
      <c r="AD62" t="s">
        <v>1653</v>
      </c>
      <c r="AE62" t="s">
        <v>52</v>
      </c>
    </row>
    <row r="63" spans="1:31" x14ac:dyDescent="0.3">
      <c r="A63" t="s">
        <v>379</v>
      </c>
      <c r="B63" s="4">
        <v>45580</v>
      </c>
      <c r="C63" t="s">
        <v>1646</v>
      </c>
      <c r="D63" t="s">
        <v>380</v>
      </c>
      <c r="E63" t="s">
        <v>40</v>
      </c>
      <c r="F63" t="s">
        <v>381</v>
      </c>
      <c r="G63" t="s">
        <v>28</v>
      </c>
      <c r="H63" t="s">
        <v>382</v>
      </c>
      <c r="I63">
        <v>1399</v>
      </c>
      <c r="J63">
        <v>1</v>
      </c>
      <c r="K63" t="s">
        <v>1647</v>
      </c>
      <c r="L63">
        <v>1399</v>
      </c>
      <c r="M63">
        <v>1399</v>
      </c>
      <c r="O63">
        <v>0</v>
      </c>
      <c r="P63">
        <v>0</v>
      </c>
      <c r="Q63" t="s">
        <v>30</v>
      </c>
      <c r="R63" t="s">
        <v>46</v>
      </c>
      <c r="S63" t="s">
        <v>72</v>
      </c>
      <c r="T63" t="s">
        <v>73</v>
      </c>
      <c r="U63" t="s">
        <v>61</v>
      </c>
      <c r="V63" s="4">
        <v>45589</v>
      </c>
      <c r="W63" t="s">
        <v>1648</v>
      </c>
      <c r="X63" t="s">
        <v>1650</v>
      </c>
      <c r="Y63" t="s">
        <v>35</v>
      </c>
      <c r="Z63" t="s">
        <v>36</v>
      </c>
      <c r="AB63" s="4"/>
      <c r="AC63" t="s">
        <v>1649</v>
      </c>
      <c r="AD63" t="s">
        <v>1651</v>
      </c>
      <c r="AE63" t="s">
        <v>37</v>
      </c>
    </row>
    <row r="64" spans="1:31" x14ac:dyDescent="0.3">
      <c r="A64" t="s">
        <v>383</v>
      </c>
      <c r="B64" s="4">
        <v>45580</v>
      </c>
      <c r="C64" t="s">
        <v>1646</v>
      </c>
      <c r="D64" t="s">
        <v>384</v>
      </c>
      <c r="E64" t="s">
        <v>26</v>
      </c>
      <c r="F64" t="s">
        <v>385</v>
      </c>
      <c r="G64" t="s">
        <v>67</v>
      </c>
      <c r="H64" t="s">
        <v>386</v>
      </c>
      <c r="I64">
        <v>2999</v>
      </c>
      <c r="J64">
        <v>1</v>
      </c>
      <c r="K64" t="s">
        <v>1647</v>
      </c>
      <c r="L64">
        <v>2999</v>
      </c>
      <c r="M64">
        <v>2999</v>
      </c>
      <c r="O64">
        <v>0</v>
      </c>
      <c r="P64">
        <v>0</v>
      </c>
      <c r="Q64" t="s">
        <v>45</v>
      </c>
      <c r="R64" t="s">
        <v>31</v>
      </c>
      <c r="S64" t="s">
        <v>86</v>
      </c>
      <c r="T64" t="s">
        <v>87</v>
      </c>
      <c r="U64" t="s">
        <v>61</v>
      </c>
      <c r="V64" s="4">
        <v>45592</v>
      </c>
      <c r="W64" t="s">
        <v>1648</v>
      </c>
      <c r="X64" t="s">
        <v>1650</v>
      </c>
      <c r="Y64" t="s">
        <v>35</v>
      </c>
      <c r="Z64" t="s">
        <v>49</v>
      </c>
      <c r="AA64" t="s">
        <v>75</v>
      </c>
      <c r="AB64" s="4">
        <v>45620</v>
      </c>
      <c r="AC64" t="s">
        <v>1652</v>
      </c>
      <c r="AD64" t="s">
        <v>1653</v>
      </c>
      <c r="AE64" t="s">
        <v>52</v>
      </c>
    </row>
    <row r="65" spans="1:31" x14ac:dyDescent="0.3">
      <c r="A65" t="s">
        <v>389</v>
      </c>
      <c r="B65" s="4">
        <v>45581</v>
      </c>
      <c r="C65" t="s">
        <v>1646</v>
      </c>
      <c r="D65" t="s">
        <v>390</v>
      </c>
      <c r="E65" t="s">
        <v>26</v>
      </c>
      <c r="F65" t="s">
        <v>391</v>
      </c>
      <c r="G65" t="s">
        <v>79</v>
      </c>
      <c r="H65" t="s">
        <v>392</v>
      </c>
      <c r="I65">
        <v>699</v>
      </c>
      <c r="J65">
        <v>2</v>
      </c>
      <c r="K65" t="s">
        <v>1647</v>
      </c>
      <c r="L65">
        <v>1398</v>
      </c>
      <c r="M65">
        <v>1258.2</v>
      </c>
      <c r="N65" t="s">
        <v>127</v>
      </c>
      <c r="O65">
        <v>10</v>
      </c>
      <c r="P65">
        <v>139.80000000000001</v>
      </c>
      <c r="Q65" t="s">
        <v>128</v>
      </c>
      <c r="R65" t="s">
        <v>71</v>
      </c>
      <c r="S65" t="s">
        <v>95</v>
      </c>
      <c r="T65" t="s">
        <v>33</v>
      </c>
      <c r="U65" t="s">
        <v>32</v>
      </c>
      <c r="V65" s="4">
        <v>45590</v>
      </c>
      <c r="W65" t="s">
        <v>1648</v>
      </c>
      <c r="X65" t="s">
        <v>1650</v>
      </c>
      <c r="Y65" t="s">
        <v>35</v>
      </c>
      <c r="Z65" t="s">
        <v>36</v>
      </c>
      <c r="AB65" s="4"/>
      <c r="AC65" t="s">
        <v>1649</v>
      </c>
      <c r="AD65" t="s">
        <v>1651</v>
      </c>
      <c r="AE65" t="s">
        <v>37</v>
      </c>
    </row>
    <row r="66" spans="1:31" x14ac:dyDescent="0.3">
      <c r="A66" t="s">
        <v>393</v>
      </c>
      <c r="B66" s="4">
        <v>45581</v>
      </c>
      <c r="C66" t="s">
        <v>1646</v>
      </c>
      <c r="D66" t="s">
        <v>394</v>
      </c>
      <c r="E66" t="s">
        <v>26</v>
      </c>
      <c r="F66" t="s">
        <v>395</v>
      </c>
      <c r="G66" t="s">
        <v>58</v>
      </c>
      <c r="H66" t="s">
        <v>396</v>
      </c>
      <c r="I66">
        <v>2199</v>
      </c>
      <c r="J66">
        <v>1</v>
      </c>
      <c r="K66" t="s">
        <v>1647</v>
      </c>
      <c r="L66">
        <v>2199</v>
      </c>
      <c r="M66">
        <v>2199</v>
      </c>
      <c r="O66">
        <v>0</v>
      </c>
      <c r="P66">
        <v>0</v>
      </c>
      <c r="Q66" t="s">
        <v>60</v>
      </c>
      <c r="R66" t="s">
        <v>46</v>
      </c>
      <c r="S66" t="s">
        <v>108</v>
      </c>
      <c r="T66" t="s">
        <v>109</v>
      </c>
      <c r="U66" t="s">
        <v>32</v>
      </c>
      <c r="V66" s="4">
        <v>45593</v>
      </c>
      <c r="W66" t="s">
        <v>1648</v>
      </c>
      <c r="X66" t="s">
        <v>1650</v>
      </c>
      <c r="Y66" t="s">
        <v>35</v>
      </c>
      <c r="Z66" t="s">
        <v>49</v>
      </c>
      <c r="AA66" t="s">
        <v>50</v>
      </c>
      <c r="AB66" s="4">
        <v>45621</v>
      </c>
      <c r="AC66" t="s">
        <v>1652</v>
      </c>
      <c r="AD66" t="s">
        <v>1653</v>
      </c>
      <c r="AE66" t="s">
        <v>52</v>
      </c>
    </row>
    <row r="67" spans="1:31" x14ac:dyDescent="0.3">
      <c r="A67" t="s">
        <v>398</v>
      </c>
      <c r="B67" s="4">
        <v>45581</v>
      </c>
      <c r="C67" t="s">
        <v>1646</v>
      </c>
      <c r="D67" t="s">
        <v>399</v>
      </c>
      <c r="E67" t="s">
        <v>40</v>
      </c>
      <c r="F67" t="s">
        <v>400</v>
      </c>
      <c r="G67" t="s">
        <v>42</v>
      </c>
      <c r="H67" t="s">
        <v>401</v>
      </c>
      <c r="I67">
        <v>2499</v>
      </c>
      <c r="J67">
        <v>1</v>
      </c>
      <c r="K67" t="s">
        <v>1647</v>
      </c>
      <c r="L67">
        <v>2499</v>
      </c>
      <c r="M67">
        <v>2499</v>
      </c>
      <c r="O67">
        <v>0</v>
      </c>
      <c r="P67">
        <v>0</v>
      </c>
      <c r="Q67" t="s">
        <v>45</v>
      </c>
      <c r="R67" t="s">
        <v>31</v>
      </c>
      <c r="S67" t="s">
        <v>116</v>
      </c>
      <c r="T67" t="s">
        <v>117</v>
      </c>
      <c r="U67" t="s">
        <v>47</v>
      </c>
      <c r="V67" s="4">
        <v>45591</v>
      </c>
      <c r="W67" t="s">
        <v>1648</v>
      </c>
      <c r="X67" t="s">
        <v>1650</v>
      </c>
      <c r="Y67" t="s">
        <v>35</v>
      </c>
      <c r="Z67" t="s">
        <v>36</v>
      </c>
      <c r="AB67" s="4"/>
      <c r="AC67" t="s">
        <v>1649</v>
      </c>
      <c r="AD67" t="s">
        <v>1651</v>
      </c>
      <c r="AE67" t="s">
        <v>37</v>
      </c>
    </row>
    <row r="68" spans="1:31" x14ac:dyDescent="0.3">
      <c r="A68" t="s">
        <v>402</v>
      </c>
      <c r="B68" s="4">
        <v>45581</v>
      </c>
      <c r="C68" t="s">
        <v>1646</v>
      </c>
      <c r="D68" t="s">
        <v>403</v>
      </c>
      <c r="E68" t="s">
        <v>26</v>
      </c>
      <c r="F68" t="s">
        <v>404</v>
      </c>
      <c r="G68" t="s">
        <v>28</v>
      </c>
      <c r="H68" t="s">
        <v>405</v>
      </c>
      <c r="I68">
        <v>1899</v>
      </c>
      <c r="J68">
        <v>1</v>
      </c>
      <c r="K68" t="s">
        <v>1647</v>
      </c>
      <c r="L68">
        <v>1899</v>
      </c>
      <c r="M68">
        <v>1519.2</v>
      </c>
      <c r="N68" t="s">
        <v>44</v>
      </c>
      <c r="O68">
        <v>20</v>
      </c>
      <c r="P68">
        <v>379.8</v>
      </c>
      <c r="Q68" t="s">
        <v>30</v>
      </c>
      <c r="R68" t="s">
        <v>71</v>
      </c>
      <c r="S68" t="s">
        <v>129</v>
      </c>
      <c r="T68" t="s">
        <v>130</v>
      </c>
      <c r="U68" t="s">
        <v>47</v>
      </c>
      <c r="V68" s="4">
        <v>45592</v>
      </c>
      <c r="W68" t="s">
        <v>1648</v>
      </c>
      <c r="X68" t="s">
        <v>1650</v>
      </c>
      <c r="Y68" t="s">
        <v>35</v>
      </c>
      <c r="Z68" t="s">
        <v>49</v>
      </c>
      <c r="AA68" t="s">
        <v>89</v>
      </c>
      <c r="AB68" s="4">
        <v>45616</v>
      </c>
      <c r="AC68" t="s">
        <v>1652</v>
      </c>
      <c r="AD68" t="s">
        <v>1653</v>
      </c>
      <c r="AE68" t="s">
        <v>52</v>
      </c>
    </row>
    <row r="69" spans="1:31" x14ac:dyDescent="0.3">
      <c r="A69" t="s">
        <v>406</v>
      </c>
      <c r="B69" s="4">
        <v>45582</v>
      </c>
      <c r="C69" t="s">
        <v>1646</v>
      </c>
      <c r="D69" t="s">
        <v>407</v>
      </c>
      <c r="E69" t="s">
        <v>26</v>
      </c>
      <c r="F69" t="s">
        <v>408</v>
      </c>
      <c r="G69" t="s">
        <v>67</v>
      </c>
      <c r="H69" t="s">
        <v>409</v>
      </c>
      <c r="I69">
        <v>1299</v>
      </c>
      <c r="J69">
        <v>1</v>
      </c>
      <c r="K69" t="s">
        <v>1647</v>
      </c>
      <c r="L69">
        <v>1299</v>
      </c>
      <c r="M69">
        <v>1299</v>
      </c>
      <c r="O69">
        <v>0</v>
      </c>
      <c r="P69">
        <v>0</v>
      </c>
      <c r="Q69" t="s">
        <v>70</v>
      </c>
      <c r="R69" t="s">
        <v>46</v>
      </c>
      <c r="S69" t="s">
        <v>61</v>
      </c>
      <c r="T69" t="s">
        <v>62</v>
      </c>
      <c r="U69" t="s">
        <v>61</v>
      </c>
      <c r="V69" s="4">
        <v>45593</v>
      </c>
      <c r="W69" t="s">
        <v>1648</v>
      </c>
      <c r="X69" t="s">
        <v>1650</v>
      </c>
      <c r="Y69" t="s">
        <v>35</v>
      </c>
      <c r="Z69" t="s">
        <v>36</v>
      </c>
      <c r="AB69" s="4"/>
      <c r="AC69" t="s">
        <v>1649</v>
      </c>
      <c r="AD69" t="s">
        <v>1651</v>
      </c>
      <c r="AE69" t="s">
        <v>37</v>
      </c>
    </row>
    <row r="70" spans="1:31" x14ac:dyDescent="0.3">
      <c r="A70" t="s">
        <v>410</v>
      </c>
      <c r="B70" s="4">
        <v>45582</v>
      </c>
      <c r="C70" t="s">
        <v>1646</v>
      </c>
      <c r="D70" t="s">
        <v>411</v>
      </c>
      <c r="E70" t="s">
        <v>26</v>
      </c>
      <c r="F70" t="s">
        <v>412</v>
      </c>
      <c r="G70" t="s">
        <v>79</v>
      </c>
      <c r="H70" t="s">
        <v>413</v>
      </c>
      <c r="I70">
        <v>1599</v>
      </c>
      <c r="J70">
        <v>1</v>
      </c>
      <c r="K70" t="s">
        <v>1647</v>
      </c>
      <c r="L70">
        <v>1599</v>
      </c>
      <c r="M70">
        <v>1599</v>
      </c>
      <c r="O70">
        <v>0</v>
      </c>
      <c r="P70">
        <v>0</v>
      </c>
      <c r="Q70" t="s">
        <v>45</v>
      </c>
      <c r="R70" t="s">
        <v>31</v>
      </c>
      <c r="S70" t="s">
        <v>32</v>
      </c>
      <c r="T70" t="s">
        <v>33</v>
      </c>
      <c r="U70" t="s">
        <v>32</v>
      </c>
      <c r="V70" s="4">
        <v>45592</v>
      </c>
      <c r="W70" t="s">
        <v>1648</v>
      </c>
      <c r="X70" t="s">
        <v>1650</v>
      </c>
      <c r="Y70" t="s">
        <v>35</v>
      </c>
      <c r="Z70" t="s">
        <v>49</v>
      </c>
      <c r="AA70" t="s">
        <v>158</v>
      </c>
      <c r="AB70" s="4">
        <v>45618</v>
      </c>
      <c r="AC70" t="s">
        <v>1652</v>
      </c>
      <c r="AD70" t="s">
        <v>1653</v>
      </c>
      <c r="AE70" t="s">
        <v>52</v>
      </c>
    </row>
    <row r="71" spans="1:31" x14ac:dyDescent="0.3">
      <c r="A71" t="s">
        <v>414</v>
      </c>
      <c r="B71" s="4">
        <v>45582</v>
      </c>
      <c r="C71" t="s">
        <v>1646</v>
      </c>
      <c r="D71" t="s">
        <v>415</v>
      </c>
      <c r="E71" t="s">
        <v>40</v>
      </c>
      <c r="F71" t="s">
        <v>416</v>
      </c>
      <c r="G71" t="s">
        <v>58</v>
      </c>
      <c r="H71" t="s">
        <v>417</v>
      </c>
      <c r="I71">
        <v>2099</v>
      </c>
      <c r="J71">
        <v>1</v>
      </c>
      <c r="K71" t="s">
        <v>1647</v>
      </c>
      <c r="L71">
        <v>2099</v>
      </c>
      <c r="M71">
        <v>1784.15</v>
      </c>
      <c r="N71" t="s">
        <v>69</v>
      </c>
      <c r="O71">
        <v>15</v>
      </c>
      <c r="P71">
        <v>314.85000000000002</v>
      </c>
      <c r="Q71" t="s">
        <v>30</v>
      </c>
      <c r="R71" t="s">
        <v>71</v>
      </c>
      <c r="S71" t="s">
        <v>47</v>
      </c>
      <c r="T71" t="s">
        <v>47</v>
      </c>
      <c r="U71" t="s">
        <v>47</v>
      </c>
      <c r="V71" s="4">
        <v>45594</v>
      </c>
      <c r="W71" t="s">
        <v>1648</v>
      </c>
      <c r="X71" t="s">
        <v>1650</v>
      </c>
      <c r="Y71" t="s">
        <v>35</v>
      </c>
      <c r="Z71" t="s">
        <v>36</v>
      </c>
      <c r="AB71" s="4"/>
      <c r="AC71" t="s">
        <v>1649</v>
      </c>
      <c r="AD71" t="s">
        <v>1651</v>
      </c>
      <c r="AE71" t="s">
        <v>37</v>
      </c>
    </row>
    <row r="72" spans="1:31" x14ac:dyDescent="0.3">
      <c r="A72" t="s">
        <v>419</v>
      </c>
      <c r="B72" s="4">
        <v>45582</v>
      </c>
      <c r="C72" t="s">
        <v>1646</v>
      </c>
      <c r="D72" t="s">
        <v>420</v>
      </c>
      <c r="E72" t="s">
        <v>26</v>
      </c>
      <c r="F72" t="s">
        <v>421</v>
      </c>
      <c r="G72" t="s">
        <v>42</v>
      </c>
      <c r="H72" t="s">
        <v>422</v>
      </c>
      <c r="I72">
        <v>2299</v>
      </c>
      <c r="J72">
        <v>1</v>
      </c>
      <c r="K72" t="s">
        <v>1647</v>
      </c>
      <c r="L72">
        <v>2299</v>
      </c>
      <c r="M72">
        <v>2299</v>
      </c>
      <c r="O72">
        <v>0</v>
      </c>
      <c r="P72">
        <v>0</v>
      </c>
      <c r="Q72" t="s">
        <v>60</v>
      </c>
      <c r="R72" t="s">
        <v>46</v>
      </c>
      <c r="S72" t="s">
        <v>135</v>
      </c>
      <c r="T72" t="s">
        <v>136</v>
      </c>
      <c r="U72" t="s">
        <v>47</v>
      </c>
      <c r="V72" s="4"/>
      <c r="W72" t="s">
        <v>1656</v>
      </c>
      <c r="X72" t="s">
        <v>1657</v>
      </c>
      <c r="Y72" t="s">
        <v>137</v>
      </c>
      <c r="Z72" t="s">
        <v>36</v>
      </c>
      <c r="AB72" s="4"/>
      <c r="AC72" t="s">
        <v>1656</v>
      </c>
      <c r="AD72" t="s">
        <v>1651</v>
      </c>
      <c r="AE72" t="s">
        <v>37</v>
      </c>
    </row>
    <row r="73" spans="1:31" x14ac:dyDescent="0.3">
      <c r="A73" t="s">
        <v>423</v>
      </c>
      <c r="B73" s="4">
        <v>45583</v>
      </c>
      <c r="C73" t="s">
        <v>1646</v>
      </c>
      <c r="D73" t="s">
        <v>424</v>
      </c>
      <c r="E73" t="s">
        <v>26</v>
      </c>
      <c r="F73" t="s">
        <v>425</v>
      </c>
      <c r="G73" t="s">
        <v>28</v>
      </c>
      <c r="H73" t="s">
        <v>426</v>
      </c>
      <c r="I73">
        <v>1199</v>
      </c>
      <c r="J73">
        <v>2</v>
      </c>
      <c r="K73" t="s">
        <v>1647</v>
      </c>
      <c r="L73">
        <v>2398</v>
      </c>
      <c r="M73">
        <v>2398</v>
      </c>
      <c r="O73">
        <v>0</v>
      </c>
      <c r="P73">
        <v>0</v>
      </c>
      <c r="Q73" t="s">
        <v>128</v>
      </c>
      <c r="R73" t="s">
        <v>31</v>
      </c>
      <c r="S73" t="s">
        <v>156</v>
      </c>
      <c r="T73" t="s">
        <v>130</v>
      </c>
      <c r="U73" t="s">
        <v>47</v>
      </c>
      <c r="V73" s="4">
        <v>45593</v>
      </c>
      <c r="W73" t="s">
        <v>1648</v>
      </c>
      <c r="X73" t="s">
        <v>1650</v>
      </c>
      <c r="Y73" t="s">
        <v>35</v>
      </c>
      <c r="Z73" t="s">
        <v>36</v>
      </c>
      <c r="AB73" s="4"/>
      <c r="AC73" t="s">
        <v>1649</v>
      </c>
      <c r="AD73" t="s">
        <v>1651</v>
      </c>
      <c r="AE73" t="s">
        <v>37</v>
      </c>
    </row>
    <row r="74" spans="1:31" x14ac:dyDescent="0.3">
      <c r="A74" t="s">
        <v>427</v>
      </c>
      <c r="B74" s="4">
        <v>45583</v>
      </c>
      <c r="C74" t="s">
        <v>1646</v>
      </c>
      <c r="D74" t="s">
        <v>428</v>
      </c>
      <c r="E74" t="s">
        <v>26</v>
      </c>
      <c r="F74" t="s">
        <v>429</v>
      </c>
      <c r="G74" t="s">
        <v>67</v>
      </c>
      <c r="H74" t="s">
        <v>430</v>
      </c>
      <c r="I74">
        <v>2599</v>
      </c>
      <c r="J74">
        <v>1</v>
      </c>
      <c r="K74" t="s">
        <v>1647</v>
      </c>
      <c r="L74">
        <v>2599</v>
      </c>
      <c r="M74">
        <v>2079.1999999999998</v>
      </c>
      <c r="N74" t="s">
        <v>44</v>
      </c>
      <c r="O74">
        <v>20</v>
      </c>
      <c r="P74">
        <v>519.79999999999995</v>
      </c>
      <c r="Q74" t="s">
        <v>45</v>
      </c>
      <c r="R74" t="s">
        <v>71</v>
      </c>
      <c r="S74" t="s">
        <v>164</v>
      </c>
      <c r="T74" t="s">
        <v>165</v>
      </c>
      <c r="U74" t="s">
        <v>47</v>
      </c>
      <c r="V74" s="4">
        <v>45595</v>
      </c>
      <c r="W74" t="s">
        <v>1648</v>
      </c>
      <c r="X74" t="s">
        <v>1650</v>
      </c>
      <c r="Y74" t="s">
        <v>35</v>
      </c>
      <c r="Z74" t="s">
        <v>49</v>
      </c>
      <c r="AA74" t="s">
        <v>50</v>
      </c>
      <c r="AB74" s="4">
        <v>45622</v>
      </c>
      <c r="AC74" t="s">
        <v>1652</v>
      </c>
      <c r="AD74" t="s">
        <v>1653</v>
      </c>
      <c r="AE74" t="s">
        <v>52</v>
      </c>
    </row>
    <row r="75" spans="1:31" x14ac:dyDescent="0.3">
      <c r="A75" t="s">
        <v>432</v>
      </c>
      <c r="B75" s="4">
        <v>45583</v>
      </c>
      <c r="C75" t="s">
        <v>1646</v>
      </c>
      <c r="D75" t="s">
        <v>433</v>
      </c>
      <c r="E75" t="s">
        <v>40</v>
      </c>
      <c r="F75" t="s">
        <v>434</v>
      </c>
      <c r="G75" t="s">
        <v>79</v>
      </c>
      <c r="H75" t="s">
        <v>435</v>
      </c>
      <c r="I75">
        <v>299</v>
      </c>
      <c r="J75">
        <v>5</v>
      </c>
      <c r="K75" t="s">
        <v>1647</v>
      </c>
      <c r="L75">
        <v>1495</v>
      </c>
      <c r="M75">
        <v>1495</v>
      </c>
      <c r="O75">
        <v>0</v>
      </c>
      <c r="P75">
        <v>0</v>
      </c>
      <c r="Q75" t="s">
        <v>30</v>
      </c>
      <c r="R75" t="s">
        <v>46</v>
      </c>
      <c r="S75" t="s">
        <v>171</v>
      </c>
      <c r="T75" t="s">
        <v>172</v>
      </c>
      <c r="U75" t="s">
        <v>32</v>
      </c>
      <c r="V75" s="4">
        <v>45592</v>
      </c>
      <c r="W75" t="s">
        <v>1648</v>
      </c>
      <c r="X75" t="s">
        <v>1650</v>
      </c>
      <c r="Y75" t="s">
        <v>35</v>
      </c>
      <c r="Z75" t="s">
        <v>36</v>
      </c>
      <c r="AB75" s="4"/>
      <c r="AC75" t="s">
        <v>1649</v>
      </c>
      <c r="AD75" t="s">
        <v>1651</v>
      </c>
      <c r="AE75" t="s">
        <v>37</v>
      </c>
    </row>
    <row r="76" spans="1:31" x14ac:dyDescent="0.3">
      <c r="A76" t="s">
        <v>436</v>
      </c>
      <c r="B76" s="4">
        <v>45583</v>
      </c>
      <c r="C76" t="s">
        <v>1646</v>
      </c>
      <c r="D76" t="s">
        <v>437</v>
      </c>
      <c r="E76" t="s">
        <v>26</v>
      </c>
      <c r="F76" t="s">
        <v>438</v>
      </c>
      <c r="G76" t="s">
        <v>58</v>
      </c>
      <c r="H76" t="s">
        <v>439</v>
      </c>
      <c r="I76">
        <v>1899</v>
      </c>
      <c r="J76">
        <v>1</v>
      </c>
      <c r="K76" t="s">
        <v>1647</v>
      </c>
      <c r="L76">
        <v>1899</v>
      </c>
      <c r="M76">
        <v>1899</v>
      </c>
      <c r="O76">
        <v>0</v>
      </c>
      <c r="P76">
        <v>0</v>
      </c>
      <c r="Q76" t="s">
        <v>70</v>
      </c>
      <c r="R76" t="s">
        <v>31</v>
      </c>
      <c r="S76" t="s">
        <v>177</v>
      </c>
      <c r="T76" t="s">
        <v>109</v>
      </c>
      <c r="U76" t="s">
        <v>32</v>
      </c>
      <c r="V76" s="4">
        <v>45595</v>
      </c>
      <c r="W76" t="s">
        <v>1648</v>
      </c>
      <c r="X76" t="s">
        <v>1650</v>
      </c>
      <c r="Y76" t="s">
        <v>35</v>
      </c>
      <c r="Z76" t="s">
        <v>49</v>
      </c>
      <c r="AA76" t="s">
        <v>119</v>
      </c>
      <c r="AB76" s="4">
        <v>45624</v>
      </c>
      <c r="AC76" t="s">
        <v>1652</v>
      </c>
      <c r="AD76" t="s">
        <v>1653</v>
      </c>
      <c r="AE76" t="s">
        <v>52</v>
      </c>
    </row>
    <row r="77" spans="1:31" x14ac:dyDescent="0.3">
      <c r="A77" t="s">
        <v>441</v>
      </c>
      <c r="B77" s="4">
        <v>45584</v>
      </c>
      <c r="C77" t="s">
        <v>1646</v>
      </c>
      <c r="D77" t="s">
        <v>442</v>
      </c>
      <c r="E77" t="s">
        <v>26</v>
      </c>
      <c r="F77" t="s">
        <v>443</v>
      </c>
      <c r="G77" t="s">
        <v>42</v>
      </c>
      <c r="H77" t="s">
        <v>444</v>
      </c>
      <c r="I77">
        <v>2199</v>
      </c>
      <c r="J77">
        <v>1</v>
      </c>
      <c r="K77" t="s">
        <v>1647</v>
      </c>
      <c r="L77">
        <v>2199</v>
      </c>
      <c r="M77">
        <v>2199</v>
      </c>
      <c r="O77">
        <v>0</v>
      </c>
      <c r="P77">
        <v>0</v>
      </c>
      <c r="Q77" t="s">
        <v>45</v>
      </c>
      <c r="R77" t="s">
        <v>71</v>
      </c>
      <c r="S77" t="s">
        <v>184</v>
      </c>
      <c r="T77" t="s">
        <v>185</v>
      </c>
      <c r="U77" t="s">
        <v>47</v>
      </c>
      <c r="V77" s="4">
        <v>45596</v>
      </c>
      <c r="W77" t="s">
        <v>1648</v>
      </c>
      <c r="X77" t="s">
        <v>1650</v>
      </c>
      <c r="Y77" t="s">
        <v>35</v>
      </c>
      <c r="Z77" t="s">
        <v>36</v>
      </c>
      <c r="AB77" s="4"/>
      <c r="AC77" t="s">
        <v>1649</v>
      </c>
      <c r="AD77" t="s">
        <v>1651</v>
      </c>
      <c r="AE77" t="s">
        <v>37</v>
      </c>
    </row>
    <row r="78" spans="1:31" x14ac:dyDescent="0.3">
      <c r="A78" t="s">
        <v>446</v>
      </c>
      <c r="B78" s="4">
        <v>45584</v>
      </c>
      <c r="C78" t="s">
        <v>1646</v>
      </c>
      <c r="D78" t="s">
        <v>447</v>
      </c>
      <c r="E78" t="s">
        <v>26</v>
      </c>
      <c r="F78" t="s">
        <v>448</v>
      </c>
      <c r="G78" t="s">
        <v>28</v>
      </c>
      <c r="H78" t="s">
        <v>449</v>
      </c>
      <c r="I78">
        <v>1799</v>
      </c>
      <c r="J78">
        <v>1</v>
      </c>
      <c r="K78" t="s">
        <v>1647</v>
      </c>
      <c r="L78">
        <v>1799</v>
      </c>
      <c r="M78">
        <v>1619.1</v>
      </c>
      <c r="N78" t="s">
        <v>127</v>
      </c>
      <c r="O78">
        <v>10</v>
      </c>
      <c r="P78">
        <v>179.9</v>
      </c>
      <c r="Q78" t="s">
        <v>60</v>
      </c>
      <c r="R78" t="s">
        <v>46</v>
      </c>
      <c r="S78" t="s">
        <v>190</v>
      </c>
      <c r="T78" t="s">
        <v>172</v>
      </c>
      <c r="U78" t="s">
        <v>32</v>
      </c>
      <c r="V78" s="4">
        <v>45594</v>
      </c>
      <c r="W78" t="s">
        <v>1648</v>
      </c>
      <c r="X78" t="s">
        <v>1650</v>
      </c>
      <c r="Y78" t="s">
        <v>35</v>
      </c>
      <c r="Z78" t="s">
        <v>49</v>
      </c>
      <c r="AA78" t="s">
        <v>75</v>
      </c>
      <c r="AB78" s="4">
        <v>45621</v>
      </c>
      <c r="AC78" t="s">
        <v>1652</v>
      </c>
      <c r="AD78" t="s">
        <v>1653</v>
      </c>
      <c r="AE78" t="s">
        <v>52</v>
      </c>
    </row>
    <row r="79" spans="1:31" x14ac:dyDescent="0.3">
      <c r="A79" t="s">
        <v>450</v>
      </c>
      <c r="B79" s="4">
        <v>45584</v>
      </c>
      <c r="C79" t="s">
        <v>1646</v>
      </c>
      <c r="D79" t="s">
        <v>451</v>
      </c>
      <c r="E79" t="s">
        <v>40</v>
      </c>
      <c r="F79" t="s">
        <v>452</v>
      </c>
      <c r="G79" t="s">
        <v>67</v>
      </c>
      <c r="H79" t="s">
        <v>453</v>
      </c>
      <c r="I79">
        <v>4999</v>
      </c>
      <c r="J79">
        <v>1</v>
      </c>
      <c r="K79" t="s">
        <v>1647</v>
      </c>
      <c r="L79">
        <v>4999</v>
      </c>
      <c r="M79">
        <v>4999</v>
      </c>
      <c r="O79">
        <v>0</v>
      </c>
      <c r="P79">
        <v>0</v>
      </c>
      <c r="Q79" t="s">
        <v>30</v>
      </c>
      <c r="R79" t="s">
        <v>31</v>
      </c>
      <c r="S79" t="s">
        <v>195</v>
      </c>
      <c r="T79" t="s">
        <v>33</v>
      </c>
      <c r="U79" t="s">
        <v>32</v>
      </c>
      <c r="V79" s="4">
        <v>45597</v>
      </c>
      <c r="W79" t="s">
        <v>1648</v>
      </c>
      <c r="X79" t="s">
        <v>1650</v>
      </c>
      <c r="Y79" t="s">
        <v>35</v>
      </c>
      <c r="Z79" t="s">
        <v>36</v>
      </c>
      <c r="AB79" s="4"/>
      <c r="AC79" t="s">
        <v>1649</v>
      </c>
      <c r="AD79" t="s">
        <v>1651</v>
      </c>
      <c r="AE79" t="s">
        <v>37</v>
      </c>
    </row>
    <row r="80" spans="1:31" x14ac:dyDescent="0.3">
      <c r="A80" t="s">
        <v>455</v>
      </c>
      <c r="B80" s="4">
        <v>45584</v>
      </c>
      <c r="C80" t="s">
        <v>1646</v>
      </c>
      <c r="D80" t="s">
        <v>456</v>
      </c>
      <c r="E80" t="s">
        <v>26</v>
      </c>
      <c r="F80" t="s">
        <v>457</v>
      </c>
      <c r="G80" t="s">
        <v>79</v>
      </c>
      <c r="H80" t="s">
        <v>458</v>
      </c>
      <c r="I80">
        <v>999</v>
      </c>
      <c r="J80">
        <v>1</v>
      </c>
      <c r="K80" t="s">
        <v>1647</v>
      </c>
      <c r="L80">
        <v>999</v>
      </c>
      <c r="M80">
        <v>999</v>
      </c>
      <c r="O80">
        <v>0</v>
      </c>
      <c r="P80">
        <v>0</v>
      </c>
      <c r="Q80" t="s">
        <v>128</v>
      </c>
      <c r="R80" t="s">
        <v>71</v>
      </c>
      <c r="S80" t="s">
        <v>202</v>
      </c>
      <c r="T80" t="s">
        <v>73</v>
      </c>
      <c r="U80" t="s">
        <v>61</v>
      </c>
      <c r="V80" s="4">
        <v>45595</v>
      </c>
      <c r="W80" t="s">
        <v>1648</v>
      </c>
      <c r="X80" t="s">
        <v>1650</v>
      </c>
      <c r="Y80" t="s">
        <v>35</v>
      </c>
      <c r="Z80" t="s">
        <v>49</v>
      </c>
      <c r="AA80" t="s">
        <v>50</v>
      </c>
      <c r="AB80" s="4">
        <v>45624</v>
      </c>
      <c r="AC80" t="s">
        <v>1652</v>
      </c>
      <c r="AD80" t="s">
        <v>1653</v>
      </c>
      <c r="AE80" t="s">
        <v>52</v>
      </c>
    </row>
    <row r="81" spans="1:31" x14ac:dyDescent="0.3">
      <c r="A81" t="s">
        <v>459</v>
      </c>
      <c r="B81" s="4">
        <v>45585</v>
      </c>
      <c r="C81" t="s">
        <v>1646</v>
      </c>
      <c r="D81" t="s">
        <v>460</v>
      </c>
      <c r="E81" t="s">
        <v>26</v>
      </c>
      <c r="F81" t="s">
        <v>461</v>
      </c>
      <c r="G81" t="s">
        <v>58</v>
      </c>
      <c r="H81" t="s">
        <v>462</v>
      </c>
      <c r="I81">
        <v>1499</v>
      </c>
      <c r="J81">
        <v>1</v>
      </c>
      <c r="K81" t="s">
        <v>1647</v>
      </c>
      <c r="L81">
        <v>1499</v>
      </c>
      <c r="M81">
        <v>1199.2</v>
      </c>
      <c r="N81" t="s">
        <v>44</v>
      </c>
      <c r="O81">
        <v>20</v>
      </c>
      <c r="P81">
        <v>299.8</v>
      </c>
      <c r="Q81" t="s">
        <v>45</v>
      </c>
      <c r="R81" t="s">
        <v>46</v>
      </c>
      <c r="S81" t="s">
        <v>208</v>
      </c>
      <c r="T81" t="s">
        <v>209</v>
      </c>
      <c r="U81" t="s">
        <v>61</v>
      </c>
      <c r="V81" s="4">
        <v>45596</v>
      </c>
      <c r="W81" t="s">
        <v>1648</v>
      </c>
      <c r="X81" t="s">
        <v>1650</v>
      </c>
      <c r="Y81" t="s">
        <v>35</v>
      </c>
      <c r="Z81" t="s">
        <v>36</v>
      </c>
      <c r="AB81" s="4"/>
      <c r="AC81" t="s">
        <v>1649</v>
      </c>
      <c r="AD81" t="s">
        <v>1651</v>
      </c>
      <c r="AE81" t="s">
        <v>37</v>
      </c>
    </row>
    <row r="82" spans="1:31" x14ac:dyDescent="0.3">
      <c r="A82" t="s">
        <v>463</v>
      </c>
      <c r="B82" s="4">
        <v>45585</v>
      </c>
      <c r="C82" t="s">
        <v>1646</v>
      </c>
      <c r="D82" t="s">
        <v>464</v>
      </c>
      <c r="E82" t="s">
        <v>26</v>
      </c>
      <c r="F82" t="s">
        <v>465</v>
      </c>
      <c r="G82" t="s">
        <v>42</v>
      </c>
      <c r="H82" t="s">
        <v>466</v>
      </c>
      <c r="I82">
        <v>2899</v>
      </c>
      <c r="J82">
        <v>1</v>
      </c>
      <c r="K82" t="s">
        <v>1647</v>
      </c>
      <c r="L82">
        <v>2899</v>
      </c>
      <c r="M82">
        <v>2899</v>
      </c>
      <c r="O82">
        <v>0</v>
      </c>
      <c r="P82">
        <v>0</v>
      </c>
      <c r="Q82" t="s">
        <v>70</v>
      </c>
      <c r="R82" t="s">
        <v>31</v>
      </c>
      <c r="S82" t="s">
        <v>215</v>
      </c>
      <c r="T82" t="s">
        <v>216</v>
      </c>
      <c r="U82" t="s">
        <v>61</v>
      </c>
      <c r="V82" s="4">
        <v>45598</v>
      </c>
      <c r="W82" t="s">
        <v>1648</v>
      </c>
      <c r="X82" t="s">
        <v>1650</v>
      </c>
      <c r="Y82" t="s">
        <v>35</v>
      </c>
      <c r="Z82" t="s">
        <v>49</v>
      </c>
      <c r="AA82" t="s">
        <v>89</v>
      </c>
      <c r="AB82" s="4">
        <v>45626</v>
      </c>
      <c r="AC82" t="s">
        <v>1652</v>
      </c>
      <c r="AD82" t="s">
        <v>1653</v>
      </c>
      <c r="AE82" t="s">
        <v>52</v>
      </c>
    </row>
    <row r="83" spans="1:31" x14ac:dyDescent="0.3">
      <c r="A83" t="s">
        <v>468</v>
      </c>
      <c r="B83" s="4">
        <v>45585</v>
      </c>
      <c r="C83" t="s">
        <v>1646</v>
      </c>
      <c r="D83" t="s">
        <v>469</v>
      </c>
      <c r="E83" t="s">
        <v>40</v>
      </c>
      <c r="F83" t="s">
        <v>470</v>
      </c>
      <c r="G83" t="s">
        <v>28</v>
      </c>
      <c r="H83" t="s">
        <v>471</v>
      </c>
      <c r="I83">
        <v>1099</v>
      </c>
      <c r="J83">
        <v>2</v>
      </c>
      <c r="K83" t="s">
        <v>1647</v>
      </c>
      <c r="L83">
        <v>2198</v>
      </c>
      <c r="M83">
        <v>2198</v>
      </c>
      <c r="O83">
        <v>0</v>
      </c>
      <c r="P83">
        <v>0</v>
      </c>
      <c r="Q83" t="s">
        <v>30</v>
      </c>
      <c r="R83" t="s">
        <v>71</v>
      </c>
      <c r="S83" t="s">
        <v>221</v>
      </c>
      <c r="T83" t="s">
        <v>209</v>
      </c>
      <c r="U83" t="s">
        <v>61</v>
      </c>
      <c r="V83" s="4">
        <v>45595</v>
      </c>
      <c r="W83" t="s">
        <v>1648</v>
      </c>
      <c r="X83" t="s">
        <v>1650</v>
      </c>
      <c r="Y83" t="s">
        <v>35</v>
      </c>
      <c r="Z83" t="s">
        <v>36</v>
      </c>
      <c r="AB83" s="4"/>
      <c r="AC83" t="s">
        <v>1649</v>
      </c>
      <c r="AD83" t="s">
        <v>1651</v>
      </c>
      <c r="AE83" t="s">
        <v>37</v>
      </c>
    </row>
    <row r="84" spans="1:31" x14ac:dyDescent="0.3">
      <c r="A84" t="s">
        <v>472</v>
      </c>
      <c r="B84" s="4">
        <v>45585</v>
      </c>
      <c r="C84" t="s">
        <v>1646</v>
      </c>
      <c r="D84" t="s">
        <v>473</v>
      </c>
      <c r="E84" t="s">
        <v>26</v>
      </c>
      <c r="F84" t="s">
        <v>474</v>
      </c>
      <c r="G84" t="s">
        <v>67</v>
      </c>
      <c r="H84" t="s">
        <v>225</v>
      </c>
      <c r="I84">
        <v>5499</v>
      </c>
      <c r="J84">
        <v>1</v>
      </c>
      <c r="K84" t="s">
        <v>1647</v>
      </c>
      <c r="L84">
        <v>5499</v>
      </c>
      <c r="M84">
        <v>4674.1499999999996</v>
      </c>
      <c r="N84" t="s">
        <v>69</v>
      </c>
      <c r="O84">
        <v>15</v>
      </c>
      <c r="P84">
        <v>824.85</v>
      </c>
      <c r="Q84" t="s">
        <v>45</v>
      </c>
      <c r="R84" t="s">
        <v>46</v>
      </c>
      <c r="S84" t="s">
        <v>226</v>
      </c>
      <c r="T84" t="s">
        <v>62</v>
      </c>
      <c r="U84" t="s">
        <v>61</v>
      </c>
      <c r="V84" s="4">
        <v>45599</v>
      </c>
      <c r="W84" t="s">
        <v>1648</v>
      </c>
      <c r="X84" t="s">
        <v>1650</v>
      </c>
      <c r="Y84" t="s">
        <v>35</v>
      </c>
      <c r="Z84" t="s">
        <v>49</v>
      </c>
      <c r="AA84" t="s">
        <v>50</v>
      </c>
      <c r="AB84" s="4">
        <v>45627</v>
      </c>
      <c r="AC84" t="s">
        <v>1652</v>
      </c>
      <c r="AD84" t="s">
        <v>1653</v>
      </c>
      <c r="AE84" t="s">
        <v>52</v>
      </c>
    </row>
    <row r="85" spans="1:31" x14ac:dyDescent="0.3">
      <c r="A85" t="s">
        <v>477</v>
      </c>
      <c r="B85" s="4">
        <v>45586</v>
      </c>
      <c r="C85" t="s">
        <v>1646</v>
      </c>
      <c r="D85" t="s">
        <v>478</v>
      </c>
      <c r="E85" t="s">
        <v>26</v>
      </c>
      <c r="F85" t="s">
        <v>479</v>
      </c>
      <c r="G85" t="s">
        <v>79</v>
      </c>
      <c r="H85" t="s">
        <v>480</v>
      </c>
      <c r="I85">
        <v>799</v>
      </c>
      <c r="J85">
        <v>1</v>
      </c>
      <c r="K85" t="s">
        <v>1647</v>
      </c>
      <c r="L85">
        <v>799</v>
      </c>
      <c r="M85">
        <v>799</v>
      </c>
      <c r="O85">
        <v>0</v>
      </c>
      <c r="P85">
        <v>0</v>
      </c>
      <c r="Q85" t="s">
        <v>60</v>
      </c>
      <c r="R85" t="s">
        <v>31</v>
      </c>
      <c r="S85" t="s">
        <v>233</v>
      </c>
      <c r="T85" t="s">
        <v>109</v>
      </c>
      <c r="U85" t="s">
        <v>32</v>
      </c>
      <c r="V85" s="4"/>
      <c r="W85" t="s">
        <v>1656</v>
      </c>
      <c r="X85" t="s">
        <v>1657</v>
      </c>
      <c r="Y85" t="s">
        <v>137</v>
      </c>
      <c r="Z85" t="s">
        <v>36</v>
      </c>
      <c r="AB85" s="4"/>
      <c r="AC85" t="s">
        <v>1656</v>
      </c>
      <c r="AD85" t="s">
        <v>1651</v>
      </c>
      <c r="AE85" t="s">
        <v>37</v>
      </c>
    </row>
    <row r="86" spans="1:31" x14ac:dyDescent="0.3">
      <c r="A86" t="s">
        <v>481</v>
      </c>
      <c r="B86" s="4">
        <v>45586</v>
      </c>
      <c r="C86" t="s">
        <v>1646</v>
      </c>
      <c r="D86" t="s">
        <v>482</v>
      </c>
      <c r="E86" t="s">
        <v>26</v>
      </c>
      <c r="F86" t="s">
        <v>483</v>
      </c>
      <c r="G86" t="s">
        <v>58</v>
      </c>
      <c r="H86" t="s">
        <v>484</v>
      </c>
      <c r="I86">
        <v>1599</v>
      </c>
      <c r="J86">
        <v>1</v>
      </c>
      <c r="K86" t="s">
        <v>1647</v>
      </c>
      <c r="L86">
        <v>1599</v>
      </c>
      <c r="M86">
        <v>1599</v>
      </c>
      <c r="O86">
        <v>0</v>
      </c>
      <c r="P86">
        <v>0</v>
      </c>
      <c r="Q86" t="s">
        <v>128</v>
      </c>
      <c r="R86" t="s">
        <v>71</v>
      </c>
      <c r="S86" t="s">
        <v>238</v>
      </c>
      <c r="T86" t="s">
        <v>109</v>
      </c>
      <c r="U86" t="s">
        <v>32</v>
      </c>
      <c r="V86" s="4">
        <v>45598</v>
      </c>
      <c r="W86" t="s">
        <v>1648</v>
      </c>
      <c r="X86" t="s">
        <v>1650</v>
      </c>
      <c r="Y86" t="s">
        <v>35</v>
      </c>
      <c r="Z86" t="s">
        <v>36</v>
      </c>
      <c r="AB86" s="4"/>
      <c r="AC86" t="s">
        <v>1649</v>
      </c>
      <c r="AD86" t="s">
        <v>1651</v>
      </c>
      <c r="AE86" t="s">
        <v>37</v>
      </c>
    </row>
    <row r="87" spans="1:31" x14ac:dyDescent="0.3">
      <c r="A87" t="s">
        <v>485</v>
      </c>
      <c r="B87" s="4">
        <v>45586</v>
      </c>
      <c r="C87" t="s">
        <v>1646</v>
      </c>
      <c r="D87" t="s">
        <v>486</v>
      </c>
      <c r="E87" t="s">
        <v>40</v>
      </c>
      <c r="F87" t="s">
        <v>487</v>
      </c>
      <c r="G87" t="s">
        <v>42</v>
      </c>
      <c r="H87" t="s">
        <v>488</v>
      </c>
      <c r="I87">
        <v>2699</v>
      </c>
      <c r="J87">
        <v>1</v>
      </c>
      <c r="K87" t="s">
        <v>1647</v>
      </c>
      <c r="L87">
        <v>2699</v>
      </c>
      <c r="M87">
        <v>2159.1999999999998</v>
      </c>
      <c r="N87" t="s">
        <v>44</v>
      </c>
      <c r="O87">
        <v>20</v>
      </c>
      <c r="P87">
        <v>539.79999999999995</v>
      </c>
      <c r="Q87" t="s">
        <v>45</v>
      </c>
      <c r="R87" t="s">
        <v>46</v>
      </c>
      <c r="S87" t="s">
        <v>243</v>
      </c>
      <c r="T87" t="s">
        <v>130</v>
      </c>
      <c r="U87" t="s">
        <v>47</v>
      </c>
      <c r="V87" s="4">
        <v>45597</v>
      </c>
      <c r="W87" t="s">
        <v>1648</v>
      </c>
      <c r="X87" t="s">
        <v>1650</v>
      </c>
      <c r="Y87" t="s">
        <v>35</v>
      </c>
      <c r="Z87" t="s">
        <v>49</v>
      </c>
      <c r="AA87" t="s">
        <v>75</v>
      </c>
      <c r="AB87" s="4">
        <v>45626</v>
      </c>
      <c r="AC87" t="s">
        <v>1652</v>
      </c>
      <c r="AD87" t="s">
        <v>1653</v>
      </c>
      <c r="AE87" t="s">
        <v>52</v>
      </c>
    </row>
    <row r="88" spans="1:31" x14ac:dyDescent="0.3">
      <c r="A88" t="s">
        <v>489</v>
      </c>
      <c r="B88" s="4">
        <v>45586</v>
      </c>
      <c r="C88" t="s">
        <v>1646</v>
      </c>
      <c r="D88" t="s">
        <v>490</v>
      </c>
      <c r="E88" t="s">
        <v>26</v>
      </c>
      <c r="F88" t="s">
        <v>491</v>
      </c>
      <c r="G88" t="s">
        <v>28</v>
      </c>
      <c r="H88" t="s">
        <v>492</v>
      </c>
      <c r="I88">
        <v>1499</v>
      </c>
      <c r="J88">
        <v>1</v>
      </c>
      <c r="K88" t="s">
        <v>1647</v>
      </c>
      <c r="L88">
        <v>1499</v>
      </c>
      <c r="M88">
        <v>1499</v>
      </c>
      <c r="O88">
        <v>0</v>
      </c>
      <c r="P88">
        <v>0</v>
      </c>
      <c r="Q88" t="s">
        <v>30</v>
      </c>
      <c r="R88" t="s">
        <v>31</v>
      </c>
      <c r="S88" t="s">
        <v>32</v>
      </c>
      <c r="T88" t="s">
        <v>33</v>
      </c>
      <c r="U88" t="s">
        <v>32</v>
      </c>
      <c r="V88" s="4">
        <v>45598</v>
      </c>
      <c r="W88" t="s">
        <v>1648</v>
      </c>
      <c r="X88" t="s">
        <v>1650</v>
      </c>
      <c r="Y88" t="s">
        <v>35</v>
      </c>
      <c r="Z88" t="s">
        <v>36</v>
      </c>
      <c r="AB88" s="4"/>
      <c r="AC88" t="s">
        <v>1649</v>
      </c>
      <c r="AD88" t="s">
        <v>1651</v>
      </c>
      <c r="AE88" t="s">
        <v>37</v>
      </c>
    </row>
    <row r="89" spans="1:31" x14ac:dyDescent="0.3">
      <c r="A89" t="s">
        <v>493</v>
      </c>
      <c r="B89" s="4">
        <v>45587</v>
      </c>
      <c r="C89" t="s">
        <v>1646</v>
      </c>
      <c r="D89" t="s">
        <v>494</v>
      </c>
      <c r="E89" t="s">
        <v>26</v>
      </c>
      <c r="F89" t="s">
        <v>495</v>
      </c>
      <c r="G89" t="s">
        <v>67</v>
      </c>
      <c r="H89" t="s">
        <v>496</v>
      </c>
      <c r="I89">
        <v>3299</v>
      </c>
      <c r="J89">
        <v>1</v>
      </c>
      <c r="K89" t="s">
        <v>1647</v>
      </c>
      <c r="L89">
        <v>3299</v>
      </c>
      <c r="M89">
        <v>3299</v>
      </c>
      <c r="O89">
        <v>0</v>
      </c>
      <c r="P89">
        <v>0</v>
      </c>
      <c r="Q89" t="s">
        <v>70</v>
      </c>
      <c r="R89" t="s">
        <v>71</v>
      </c>
      <c r="S89" t="s">
        <v>47</v>
      </c>
      <c r="T89" t="s">
        <v>47</v>
      </c>
      <c r="U89" t="s">
        <v>47</v>
      </c>
      <c r="V89" s="4">
        <v>45600</v>
      </c>
      <c r="W89" t="s">
        <v>1648</v>
      </c>
      <c r="X89" t="s">
        <v>1650</v>
      </c>
      <c r="Y89" t="s">
        <v>35</v>
      </c>
      <c r="Z89" t="s">
        <v>49</v>
      </c>
      <c r="AA89" t="s">
        <v>119</v>
      </c>
      <c r="AB89" s="4">
        <v>45629</v>
      </c>
      <c r="AC89" t="s">
        <v>1652</v>
      </c>
      <c r="AD89" t="s">
        <v>1653</v>
      </c>
      <c r="AE89" t="s">
        <v>52</v>
      </c>
    </row>
    <row r="90" spans="1:31" x14ac:dyDescent="0.3">
      <c r="A90" t="s">
        <v>499</v>
      </c>
      <c r="B90" s="4">
        <v>45587</v>
      </c>
      <c r="C90" t="s">
        <v>1646</v>
      </c>
      <c r="D90" t="s">
        <v>500</v>
      </c>
      <c r="E90" t="s">
        <v>26</v>
      </c>
      <c r="F90" t="s">
        <v>501</v>
      </c>
      <c r="G90" t="s">
        <v>79</v>
      </c>
      <c r="H90" t="s">
        <v>502</v>
      </c>
      <c r="I90">
        <v>499</v>
      </c>
      <c r="J90">
        <v>2</v>
      </c>
      <c r="K90" t="s">
        <v>1647</v>
      </c>
      <c r="L90">
        <v>998</v>
      </c>
      <c r="M90">
        <v>898.2</v>
      </c>
      <c r="N90" t="s">
        <v>127</v>
      </c>
      <c r="O90">
        <v>10</v>
      </c>
      <c r="P90">
        <v>99.8</v>
      </c>
      <c r="Q90" t="s">
        <v>45</v>
      </c>
      <c r="R90" t="s">
        <v>46</v>
      </c>
      <c r="S90" t="s">
        <v>101</v>
      </c>
      <c r="T90" t="s">
        <v>102</v>
      </c>
      <c r="U90" t="s">
        <v>47</v>
      </c>
      <c r="V90" s="4">
        <v>45597</v>
      </c>
      <c r="W90" t="s">
        <v>1648</v>
      </c>
      <c r="X90" t="s">
        <v>1650</v>
      </c>
      <c r="Y90" t="s">
        <v>35</v>
      </c>
      <c r="Z90" t="s">
        <v>36</v>
      </c>
      <c r="AB90" s="4"/>
      <c r="AC90" t="s">
        <v>1649</v>
      </c>
      <c r="AD90" t="s">
        <v>1651</v>
      </c>
      <c r="AE90" t="s">
        <v>37</v>
      </c>
    </row>
    <row r="91" spans="1:31" x14ac:dyDescent="0.3">
      <c r="A91" t="s">
        <v>503</v>
      </c>
      <c r="B91" s="4">
        <v>45587</v>
      </c>
      <c r="C91" t="s">
        <v>1646</v>
      </c>
      <c r="D91" t="s">
        <v>504</v>
      </c>
      <c r="E91" t="s">
        <v>40</v>
      </c>
      <c r="F91" t="s">
        <v>505</v>
      </c>
      <c r="G91" t="s">
        <v>58</v>
      </c>
      <c r="H91" t="s">
        <v>506</v>
      </c>
      <c r="I91">
        <v>2399</v>
      </c>
      <c r="J91">
        <v>1</v>
      </c>
      <c r="K91" t="s">
        <v>1647</v>
      </c>
      <c r="L91">
        <v>2399</v>
      </c>
      <c r="M91">
        <v>2399</v>
      </c>
      <c r="O91">
        <v>0</v>
      </c>
      <c r="P91">
        <v>0</v>
      </c>
      <c r="Q91" t="s">
        <v>30</v>
      </c>
      <c r="R91" t="s">
        <v>31</v>
      </c>
      <c r="S91" t="s">
        <v>72</v>
      </c>
      <c r="T91" t="s">
        <v>73</v>
      </c>
      <c r="U91" t="s">
        <v>61</v>
      </c>
      <c r="V91" s="4">
        <v>45599</v>
      </c>
      <c r="W91" t="s">
        <v>1648</v>
      </c>
      <c r="X91" t="s">
        <v>1650</v>
      </c>
      <c r="Y91" t="s">
        <v>35</v>
      </c>
      <c r="Z91" t="s">
        <v>36</v>
      </c>
      <c r="AB91" s="4"/>
      <c r="AC91" t="s">
        <v>1649</v>
      </c>
      <c r="AD91" t="s">
        <v>1651</v>
      </c>
      <c r="AE91" t="s">
        <v>37</v>
      </c>
    </row>
    <row r="92" spans="1:31" x14ac:dyDescent="0.3">
      <c r="A92" t="s">
        <v>507</v>
      </c>
      <c r="B92" s="4">
        <v>45587</v>
      </c>
      <c r="C92" t="s">
        <v>1646</v>
      </c>
      <c r="D92" t="s">
        <v>508</v>
      </c>
      <c r="E92" t="s">
        <v>26</v>
      </c>
      <c r="F92" t="s">
        <v>509</v>
      </c>
      <c r="G92" t="s">
        <v>42</v>
      </c>
      <c r="H92" t="s">
        <v>510</v>
      </c>
      <c r="I92">
        <v>2599</v>
      </c>
      <c r="J92">
        <v>1</v>
      </c>
      <c r="K92" t="s">
        <v>1647</v>
      </c>
      <c r="L92">
        <v>2599</v>
      </c>
      <c r="M92">
        <v>2599</v>
      </c>
      <c r="O92">
        <v>0</v>
      </c>
      <c r="P92">
        <v>0</v>
      </c>
      <c r="Q92" t="s">
        <v>60</v>
      </c>
      <c r="R92" t="s">
        <v>71</v>
      </c>
      <c r="S92" t="s">
        <v>86</v>
      </c>
      <c r="T92" t="s">
        <v>87</v>
      </c>
      <c r="U92" t="s">
        <v>61</v>
      </c>
      <c r="V92" s="4"/>
      <c r="W92" t="s">
        <v>1656</v>
      </c>
      <c r="X92" t="s">
        <v>1657</v>
      </c>
      <c r="Y92" t="s">
        <v>137</v>
      </c>
      <c r="Z92" t="s">
        <v>36</v>
      </c>
      <c r="AB92" s="4"/>
      <c r="AC92" t="s">
        <v>1656</v>
      </c>
      <c r="AD92" t="s">
        <v>1651</v>
      </c>
      <c r="AE92" t="s">
        <v>37</v>
      </c>
    </row>
    <row r="93" spans="1:31" x14ac:dyDescent="0.3">
      <c r="A93" t="s">
        <v>511</v>
      </c>
      <c r="B93" s="4">
        <v>45588</v>
      </c>
      <c r="C93" t="s">
        <v>1646</v>
      </c>
      <c r="D93" t="s">
        <v>512</v>
      </c>
      <c r="E93" t="s">
        <v>26</v>
      </c>
      <c r="F93" t="s">
        <v>513</v>
      </c>
      <c r="G93" t="s">
        <v>28</v>
      </c>
      <c r="H93" t="s">
        <v>514</v>
      </c>
      <c r="I93">
        <v>1399</v>
      </c>
      <c r="J93">
        <v>1</v>
      </c>
      <c r="K93" t="s">
        <v>1647</v>
      </c>
      <c r="L93">
        <v>1399</v>
      </c>
      <c r="M93">
        <v>1119.2</v>
      </c>
      <c r="N93" t="s">
        <v>44</v>
      </c>
      <c r="O93">
        <v>20</v>
      </c>
      <c r="P93">
        <v>279.8</v>
      </c>
      <c r="Q93" t="s">
        <v>128</v>
      </c>
      <c r="R93" t="s">
        <v>46</v>
      </c>
      <c r="S93" t="s">
        <v>95</v>
      </c>
      <c r="T93" t="s">
        <v>33</v>
      </c>
      <c r="U93" t="s">
        <v>32</v>
      </c>
      <c r="V93" s="4">
        <v>45599</v>
      </c>
      <c r="W93" t="s">
        <v>1648</v>
      </c>
      <c r="X93" t="s">
        <v>1650</v>
      </c>
      <c r="Y93" t="s">
        <v>35</v>
      </c>
      <c r="Z93" t="s">
        <v>49</v>
      </c>
      <c r="AA93" t="s">
        <v>50</v>
      </c>
      <c r="AB93" s="4">
        <v>45628</v>
      </c>
      <c r="AC93" t="s">
        <v>1652</v>
      </c>
      <c r="AD93" t="s">
        <v>1653</v>
      </c>
      <c r="AE93" t="s">
        <v>52</v>
      </c>
    </row>
    <row r="94" spans="1:31" x14ac:dyDescent="0.3">
      <c r="A94" t="s">
        <v>516</v>
      </c>
      <c r="B94" s="4">
        <v>45588</v>
      </c>
      <c r="C94" t="s">
        <v>1646</v>
      </c>
      <c r="D94" t="s">
        <v>517</v>
      </c>
      <c r="E94" t="s">
        <v>26</v>
      </c>
      <c r="F94" t="s">
        <v>518</v>
      </c>
      <c r="G94" t="s">
        <v>67</v>
      </c>
      <c r="H94" t="s">
        <v>519</v>
      </c>
      <c r="I94">
        <v>4299</v>
      </c>
      <c r="J94">
        <v>1</v>
      </c>
      <c r="K94" t="s">
        <v>1647</v>
      </c>
      <c r="L94">
        <v>4299</v>
      </c>
      <c r="M94">
        <v>4299</v>
      </c>
      <c r="O94">
        <v>0</v>
      </c>
      <c r="P94">
        <v>0</v>
      </c>
      <c r="Q94" t="s">
        <v>45</v>
      </c>
      <c r="R94" t="s">
        <v>31</v>
      </c>
      <c r="S94" t="s">
        <v>108</v>
      </c>
      <c r="T94" t="s">
        <v>109</v>
      </c>
      <c r="U94" t="s">
        <v>32</v>
      </c>
      <c r="V94" s="4">
        <v>45601</v>
      </c>
      <c r="W94" t="s">
        <v>1648</v>
      </c>
      <c r="X94" t="s">
        <v>1650</v>
      </c>
      <c r="Y94" t="s">
        <v>35</v>
      </c>
      <c r="Z94" t="s">
        <v>36</v>
      </c>
      <c r="AB94" s="4"/>
      <c r="AC94" t="s">
        <v>1649</v>
      </c>
      <c r="AD94" t="s">
        <v>1651</v>
      </c>
      <c r="AE94" t="s">
        <v>37</v>
      </c>
    </row>
    <row r="95" spans="1:31" x14ac:dyDescent="0.3">
      <c r="A95" t="s">
        <v>520</v>
      </c>
      <c r="B95" s="4">
        <v>45588</v>
      </c>
      <c r="C95" t="s">
        <v>1646</v>
      </c>
      <c r="D95" t="s">
        <v>521</v>
      </c>
      <c r="E95" t="s">
        <v>40</v>
      </c>
      <c r="F95" t="s">
        <v>522</v>
      </c>
      <c r="G95" t="s">
        <v>79</v>
      </c>
      <c r="H95" t="s">
        <v>523</v>
      </c>
      <c r="I95">
        <v>399</v>
      </c>
      <c r="J95">
        <v>3</v>
      </c>
      <c r="K95" t="s">
        <v>1647</v>
      </c>
      <c r="L95">
        <v>1197</v>
      </c>
      <c r="M95">
        <v>1197</v>
      </c>
      <c r="O95">
        <v>0</v>
      </c>
      <c r="P95">
        <v>0</v>
      </c>
      <c r="Q95" t="s">
        <v>30</v>
      </c>
      <c r="R95" t="s">
        <v>71</v>
      </c>
      <c r="S95" t="s">
        <v>116</v>
      </c>
      <c r="T95" t="s">
        <v>117</v>
      </c>
      <c r="U95" t="s">
        <v>47</v>
      </c>
      <c r="V95" s="4">
        <v>45598</v>
      </c>
      <c r="W95" t="s">
        <v>1648</v>
      </c>
      <c r="X95" t="s">
        <v>1650</v>
      </c>
      <c r="Y95" t="s">
        <v>35</v>
      </c>
      <c r="Z95" t="s">
        <v>36</v>
      </c>
      <c r="AB95" s="4"/>
      <c r="AC95" t="s">
        <v>1649</v>
      </c>
      <c r="AD95" t="s">
        <v>1651</v>
      </c>
      <c r="AE95" t="s">
        <v>37</v>
      </c>
    </row>
    <row r="96" spans="1:31" x14ac:dyDescent="0.3">
      <c r="A96" t="s">
        <v>524</v>
      </c>
      <c r="B96" s="4">
        <v>45588</v>
      </c>
      <c r="C96" t="s">
        <v>1646</v>
      </c>
      <c r="D96" t="s">
        <v>525</v>
      </c>
      <c r="E96" t="s">
        <v>26</v>
      </c>
      <c r="F96" t="s">
        <v>526</v>
      </c>
      <c r="G96" t="s">
        <v>58</v>
      </c>
      <c r="H96" t="s">
        <v>527</v>
      </c>
      <c r="I96">
        <v>2199</v>
      </c>
      <c r="J96">
        <v>1</v>
      </c>
      <c r="K96" t="s">
        <v>1647</v>
      </c>
      <c r="L96">
        <v>2199</v>
      </c>
      <c r="M96">
        <v>1869.15</v>
      </c>
      <c r="N96" t="s">
        <v>69</v>
      </c>
      <c r="O96">
        <v>15</v>
      </c>
      <c r="P96">
        <v>329.85</v>
      </c>
      <c r="Q96" t="s">
        <v>70</v>
      </c>
      <c r="R96" t="s">
        <v>46</v>
      </c>
      <c r="S96" t="s">
        <v>129</v>
      </c>
      <c r="T96" t="s">
        <v>130</v>
      </c>
      <c r="U96" t="s">
        <v>47</v>
      </c>
      <c r="V96" s="4">
        <v>45601</v>
      </c>
      <c r="W96" t="s">
        <v>1648</v>
      </c>
      <c r="X96" t="s">
        <v>1650</v>
      </c>
      <c r="Y96" t="s">
        <v>35</v>
      </c>
      <c r="Z96" t="s">
        <v>49</v>
      </c>
      <c r="AA96" t="s">
        <v>158</v>
      </c>
      <c r="AB96" s="4">
        <v>45631</v>
      </c>
      <c r="AC96" t="s">
        <v>1652</v>
      </c>
      <c r="AD96" t="s">
        <v>1653</v>
      </c>
      <c r="AE96" t="s">
        <v>52</v>
      </c>
    </row>
    <row r="97" spans="1:31" x14ac:dyDescent="0.3">
      <c r="A97" t="s">
        <v>529</v>
      </c>
      <c r="B97" s="4">
        <v>45589</v>
      </c>
      <c r="C97" t="s">
        <v>1646</v>
      </c>
      <c r="D97" t="s">
        <v>530</v>
      </c>
      <c r="E97" t="s">
        <v>26</v>
      </c>
      <c r="F97" t="s">
        <v>531</v>
      </c>
      <c r="G97" t="s">
        <v>42</v>
      </c>
      <c r="H97" t="s">
        <v>532</v>
      </c>
      <c r="I97">
        <v>2399</v>
      </c>
      <c r="J97">
        <v>1</v>
      </c>
      <c r="K97" t="s">
        <v>1647</v>
      </c>
      <c r="L97">
        <v>2399</v>
      </c>
      <c r="M97">
        <v>2399</v>
      </c>
      <c r="O97">
        <v>0</v>
      </c>
      <c r="P97">
        <v>0</v>
      </c>
      <c r="Q97" t="s">
        <v>45</v>
      </c>
      <c r="R97" t="s">
        <v>31</v>
      </c>
      <c r="S97" t="s">
        <v>61</v>
      </c>
      <c r="T97" t="s">
        <v>62</v>
      </c>
      <c r="U97" t="s">
        <v>61</v>
      </c>
      <c r="V97" s="4">
        <v>45600</v>
      </c>
      <c r="W97" t="s">
        <v>1648</v>
      </c>
      <c r="X97" t="s">
        <v>1650</v>
      </c>
      <c r="Y97" t="s">
        <v>35</v>
      </c>
      <c r="Z97" t="s">
        <v>36</v>
      </c>
      <c r="AB97" s="4"/>
      <c r="AC97" t="s">
        <v>1649</v>
      </c>
      <c r="AD97" t="s">
        <v>1651</v>
      </c>
      <c r="AE97" t="s">
        <v>37</v>
      </c>
    </row>
    <row r="98" spans="1:31" x14ac:dyDescent="0.3">
      <c r="A98" t="s">
        <v>533</v>
      </c>
      <c r="B98" s="4">
        <v>45589</v>
      </c>
      <c r="C98" t="s">
        <v>1646</v>
      </c>
      <c r="D98" t="s">
        <v>534</v>
      </c>
      <c r="E98" t="s">
        <v>26</v>
      </c>
      <c r="F98" t="s">
        <v>535</v>
      </c>
      <c r="G98" t="s">
        <v>28</v>
      </c>
      <c r="H98" t="s">
        <v>536</v>
      </c>
      <c r="I98">
        <v>1299</v>
      </c>
      <c r="J98">
        <v>1</v>
      </c>
      <c r="K98" t="s">
        <v>1647</v>
      </c>
      <c r="L98">
        <v>1299</v>
      </c>
      <c r="M98">
        <v>1299</v>
      </c>
      <c r="O98">
        <v>0</v>
      </c>
      <c r="P98">
        <v>0</v>
      </c>
      <c r="Q98" t="s">
        <v>60</v>
      </c>
      <c r="R98" t="s">
        <v>71</v>
      </c>
      <c r="S98" t="s">
        <v>32</v>
      </c>
      <c r="T98" t="s">
        <v>33</v>
      </c>
      <c r="U98" t="s">
        <v>32</v>
      </c>
      <c r="V98" s="4">
        <v>45602</v>
      </c>
      <c r="W98" t="s">
        <v>1648</v>
      </c>
      <c r="X98" t="s">
        <v>1650</v>
      </c>
      <c r="Y98" t="s">
        <v>35</v>
      </c>
      <c r="Z98" t="s">
        <v>49</v>
      </c>
      <c r="AA98" t="s">
        <v>89</v>
      </c>
      <c r="AB98" s="4">
        <v>45631</v>
      </c>
      <c r="AC98" t="s">
        <v>1652</v>
      </c>
      <c r="AD98" t="s">
        <v>1653</v>
      </c>
      <c r="AE98" t="s">
        <v>52</v>
      </c>
    </row>
    <row r="99" spans="1:31" x14ac:dyDescent="0.3">
      <c r="A99" t="s">
        <v>538</v>
      </c>
      <c r="B99" s="4">
        <v>45589</v>
      </c>
      <c r="C99" t="s">
        <v>1646</v>
      </c>
      <c r="D99" t="s">
        <v>539</v>
      </c>
      <c r="E99" t="s">
        <v>40</v>
      </c>
      <c r="F99" t="s">
        <v>540</v>
      </c>
      <c r="G99" t="s">
        <v>67</v>
      </c>
      <c r="H99" t="s">
        <v>541</v>
      </c>
      <c r="I99">
        <v>2799</v>
      </c>
      <c r="J99">
        <v>1</v>
      </c>
      <c r="K99" t="s">
        <v>1647</v>
      </c>
      <c r="L99">
        <v>2799</v>
      </c>
      <c r="M99">
        <v>2239.1999999999998</v>
      </c>
      <c r="N99" t="s">
        <v>44</v>
      </c>
      <c r="O99">
        <v>20</v>
      </c>
      <c r="P99">
        <v>559.79999999999995</v>
      </c>
      <c r="Q99" t="s">
        <v>30</v>
      </c>
      <c r="R99" t="s">
        <v>46</v>
      </c>
      <c r="S99" t="s">
        <v>47</v>
      </c>
      <c r="T99" t="s">
        <v>47</v>
      </c>
      <c r="U99" t="s">
        <v>47</v>
      </c>
      <c r="V99" s="4">
        <v>45601</v>
      </c>
      <c r="W99" t="s">
        <v>1648</v>
      </c>
      <c r="X99" t="s">
        <v>1650</v>
      </c>
      <c r="Y99" t="s">
        <v>35</v>
      </c>
      <c r="Z99" t="s">
        <v>36</v>
      </c>
      <c r="AB99" s="4"/>
      <c r="AC99" t="s">
        <v>1649</v>
      </c>
      <c r="AD99" t="s">
        <v>1651</v>
      </c>
      <c r="AE99" t="s">
        <v>37</v>
      </c>
    </row>
    <row r="100" spans="1:31" x14ac:dyDescent="0.3">
      <c r="A100" t="s">
        <v>542</v>
      </c>
      <c r="B100" s="4">
        <v>45589</v>
      </c>
      <c r="C100" t="s">
        <v>1646</v>
      </c>
      <c r="D100" t="s">
        <v>543</v>
      </c>
      <c r="E100" t="s">
        <v>26</v>
      </c>
      <c r="F100" t="s">
        <v>544</v>
      </c>
      <c r="G100" t="s">
        <v>79</v>
      </c>
      <c r="H100" t="s">
        <v>545</v>
      </c>
      <c r="I100">
        <v>699</v>
      </c>
      <c r="J100">
        <v>1</v>
      </c>
      <c r="K100" t="s">
        <v>1647</v>
      </c>
      <c r="L100">
        <v>699</v>
      </c>
      <c r="M100">
        <v>699</v>
      </c>
      <c r="O100">
        <v>0</v>
      </c>
      <c r="P100">
        <v>0</v>
      </c>
      <c r="Q100" t="s">
        <v>128</v>
      </c>
      <c r="R100" t="s">
        <v>31</v>
      </c>
      <c r="S100" t="s">
        <v>135</v>
      </c>
      <c r="T100" t="s">
        <v>136</v>
      </c>
      <c r="U100" t="s">
        <v>47</v>
      </c>
      <c r="V100" s="4">
        <v>45600</v>
      </c>
      <c r="W100" t="s">
        <v>1648</v>
      </c>
      <c r="X100" t="s">
        <v>1650</v>
      </c>
      <c r="Y100" t="s">
        <v>35</v>
      </c>
      <c r="Z100" t="s">
        <v>36</v>
      </c>
      <c r="AB100" s="4"/>
      <c r="AC100" t="s">
        <v>1649</v>
      </c>
      <c r="AD100" t="s">
        <v>1651</v>
      </c>
      <c r="AE100" t="s">
        <v>37</v>
      </c>
    </row>
    <row r="101" spans="1:31" x14ac:dyDescent="0.3">
      <c r="A101" t="s">
        <v>546</v>
      </c>
      <c r="B101" s="4">
        <v>45590</v>
      </c>
      <c r="C101" t="s">
        <v>1646</v>
      </c>
      <c r="D101" t="s">
        <v>547</v>
      </c>
      <c r="E101" t="s">
        <v>26</v>
      </c>
      <c r="F101" t="s">
        <v>548</v>
      </c>
      <c r="G101" t="s">
        <v>58</v>
      </c>
      <c r="H101" t="s">
        <v>549</v>
      </c>
      <c r="I101">
        <v>1699</v>
      </c>
      <c r="J101">
        <v>1</v>
      </c>
      <c r="K101" t="s">
        <v>1647</v>
      </c>
      <c r="L101">
        <v>1699</v>
      </c>
      <c r="M101">
        <v>1699</v>
      </c>
      <c r="O101">
        <v>0</v>
      </c>
      <c r="P101">
        <v>0</v>
      </c>
      <c r="Q101" t="s">
        <v>70</v>
      </c>
      <c r="R101" t="s">
        <v>71</v>
      </c>
      <c r="S101" t="s">
        <v>156</v>
      </c>
      <c r="T101" t="s">
        <v>130</v>
      </c>
      <c r="U101" t="s">
        <v>47</v>
      </c>
      <c r="V101" s="4">
        <v>45603</v>
      </c>
      <c r="W101" t="s">
        <v>1648</v>
      </c>
      <c r="X101" t="s">
        <v>1650</v>
      </c>
      <c r="Y101" t="s">
        <v>35</v>
      </c>
      <c r="Z101" t="s">
        <v>49</v>
      </c>
      <c r="AA101" t="s">
        <v>50</v>
      </c>
      <c r="AB101" s="4">
        <v>45632</v>
      </c>
      <c r="AC101" t="s">
        <v>1652</v>
      </c>
      <c r="AD101" t="s">
        <v>1653</v>
      </c>
      <c r="AE101" t="s">
        <v>52</v>
      </c>
    </row>
    <row r="102" spans="1:31" x14ac:dyDescent="0.3">
      <c r="A102" t="s">
        <v>552</v>
      </c>
      <c r="B102" s="4">
        <v>45590</v>
      </c>
      <c r="C102" t="s">
        <v>1646</v>
      </c>
      <c r="D102" t="s">
        <v>553</v>
      </c>
      <c r="E102" t="s">
        <v>26</v>
      </c>
      <c r="F102" t="s">
        <v>554</v>
      </c>
      <c r="G102" t="s">
        <v>42</v>
      </c>
      <c r="H102" t="s">
        <v>170</v>
      </c>
      <c r="I102">
        <v>2799</v>
      </c>
      <c r="J102">
        <v>1</v>
      </c>
      <c r="K102" t="s">
        <v>1647</v>
      </c>
      <c r="L102">
        <v>2799</v>
      </c>
      <c r="M102">
        <v>2519.1</v>
      </c>
      <c r="N102" t="s">
        <v>127</v>
      </c>
      <c r="O102">
        <v>10</v>
      </c>
      <c r="P102">
        <v>279.89999999999998</v>
      </c>
      <c r="Q102" t="s">
        <v>45</v>
      </c>
      <c r="R102" t="s">
        <v>46</v>
      </c>
      <c r="S102" t="s">
        <v>164</v>
      </c>
      <c r="T102" t="s">
        <v>165</v>
      </c>
      <c r="U102" t="s">
        <v>47</v>
      </c>
      <c r="V102" s="4">
        <v>45602</v>
      </c>
      <c r="W102" t="s">
        <v>1648</v>
      </c>
      <c r="X102" t="s">
        <v>1650</v>
      </c>
      <c r="Y102" t="s">
        <v>35</v>
      </c>
      <c r="Z102" t="s">
        <v>36</v>
      </c>
      <c r="AB102" s="4"/>
      <c r="AC102" t="s">
        <v>1649</v>
      </c>
      <c r="AD102" t="s">
        <v>1651</v>
      </c>
      <c r="AE102" t="s">
        <v>37</v>
      </c>
    </row>
    <row r="103" spans="1:31" x14ac:dyDescent="0.3">
      <c r="A103" t="s">
        <v>555</v>
      </c>
      <c r="B103" s="4">
        <v>45590</v>
      </c>
      <c r="C103" t="s">
        <v>1646</v>
      </c>
      <c r="D103" t="s">
        <v>556</v>
      </c>
      <c r="E103" t="s">
        <v>40</v>
      </c>
      <c r="F103" t="s">
        <v>557</v>
      </c>
      <c r="G103" t="s">
        <v>28</v>
      </c>
      <c r="H103" t="s">
        <v>558</v>
      </c>
      <c r="I103">
        <v>1199</v>
      </c>
      <c r="J103">
        <v>2</v>
      </c>
      <c r="K103" t="s">
        <v>1647</v>
      </c>
      <c r="L103">
        <v>2398</v>
      </c>
      <c r="M103">
        <v>2398</v>
      </c>
      <c r="O103">
        <v>0</v>
      </c>
      <c r="P103">
        <v>0</v>
      </c>
      <c r="Q103" t="s">
        <v>30</v>
      </c>
      <c r="R103" t="s">
        <v>31</v>
      </c>
      <c r="S103" t="s">
        <v>171</v>
      </c>
      <c r="T103" t="s">
        <v>172</v>
      </c>
      <c r="U103" t="s">
        <v>32</v>
      </c>
      <c r="V103" s="4">
        <v>45601</v>
      </c>
      <c r="W103" t="s">
        <v>1648</v>
      </c>
      <c r="X103" t="s">
        <v>1650</v>
      </c>
      <c r="Y103" t="s">
        <v>35</v>
      </c>
      <c r="Z103" t="s">
        <v>49</v>
      </c>
      <c r="AA103" t="s">
        <v>75</v>
      </c>
      <c r="AB103" s="4">
        <v>45630</v>
      </c>
      <c r="AC103" t="s">
        <v>1652</v>
      </c>
      <c r="AD103" t="s">
        <v>1653</v>
      </c>
      <c r="AE103" t="s">
        <v>52</v>
      </c>
    </row>
    <row r="104" spans="1:31" x14ac:dyDescent="0.3">
      <c r="A104" t="s">
        <v>560</v>
      </c>
      <c r="B104" s="4">
        <v>45590</v>
      </c>
      <c r="C104" t="s">
        <v>1646</v>
      </c>
      <c r="D104" t="s">
        <v>561</v>
      </c>
      <c r="E104" t="s">
        <v>26</v>
      </c>
      <c r="F104" t="s">
        <v>562</v>
      </c>
      <c r="G104" t="s">
        <v>67</v>
      </c>
      <c r="H104" t="s">
        <v>563</v>
      </c>
      <c r="I104">
        <v>5999</v>
      </c>
      <c r="J104">
        <v>1</v>
      </c>
      <c r="K104" t="s">
        <v>1647</v>
      </c>
      <c r="L104">
        <v>5999</v>
      </c>
      <c r="M104">
        <v>5999</v>
      </c>
      <c r="O104">
        <v>0</v>
      </c>
      <c r="P104">
        <v>0</v>
      </c>
      <c r="Q104" t="s">
        <v>45</v>
      </c>
      <c r="R104" t="s">
        <v>71</v>
      </c>
      <c r="S104" t="s">
        <v>177</v>
      </c>
      <c r="T104" t="s">
        <v>109</v>
      </c>
      <c r="U104" t="s">
        <v>32</v>
      </c>
      <c r="V104" s="4">
        <v>45604</v>
      </c>
      <c r="W104" t="s">
        <v>1648</v>
      </c>
      <c r="X104" t="s">
        <v>1650</v>
      </c>
      <c r="Y104" t="s">
        <v>35</v>
      </c>
      <c r="Z104" t="s">
        <v>36</v>
      </c>
      <c r="AB104" s="4"/>
      <c r="AC104" t="s">
        <v>1649</v>
      </c>
      <c r="AD104" t="s">
        <v>1651</v>
      </c>
      <c r="AE104" t="s">
        <v>37</v>
      </c>
    </row>
    <row r="105" spans="1:31" x14ac:dyDescent="0.3">
      <c r="A105" t="s">
        <v>564</v>
      </c>
      <c r="B105" s="4">
        <v>45591</v>
      </c>
      <c r="C105" t="s">
        <v>1646</v>
      </c>
      <c r="D105" t="s">
        <v>565</v>
      </c>
      <c r="E105" t="s">
        <v>26</v>
      </c>
      <c r="F105" t="s">
        <v>566</v>
      </c>
      <c r="G105" t="s">
        <v>79</v>
      </c>
      <c r="H105" t="s">
        <v>567</v>
      </c>
      <c r="I105">
        <v>1799</v>
      </c>
      <c r="J105">
        <v>1</v>
      </c>
      <c r="K105" t="s">
        <v>1647</v>
      </c>
      <c r="L105">
        <v>1799</v>
      </c>
      <c r="M105">
        <v>1439.2</v>
      </c>
      <c r="N105" t="s">
        <v>44</v>
      </c>
      <c r="O105">
        <v>20</v>
      </c>
      <c r="P105">
        <v>359.8</v>
      </c>
      <c r="Q105" t="s">
        <v>60</v>
      </c>
      <c r="R105" t="s">
        <v>46</v>
      </c>
      <c r="S105" t="s">
        <v>184</v>
      </c>
      <c r="T105" t="s">
        <v>185</v>
      </c>
      <c r="U105" t="s">
        <v>47</v>
      </c>
      <c r="V105" s="4"/>
      <c r="W105" t="s">
        <v>1656</v>
      </c>
      <c r="X105" t="s">
        <v>1657</v>
      </c>
      <c r="Y105" t="s">
        <v>137</v>
      </c>
      <c r="Z105" t="s">
        <v>36</v>
      </c>
      <c r="AB105" s="4"/>
      <c r="AC105" t="s">
        <v>1656</v>
      </c>
      <c r="AD105" t="s">
        <v>1651</v>
      </c>
      <c r="AE105" t="s">
        <v>37</v>
      </c>
    </row>
    <row r="106" spans="1:31" x14ac:dyDescent="0.3">
      <c r="A106" t="s">
        <v>568</v>
      </c>
      <c r="B106" s="4">
        <v>45591</v>
      </c>
      <c r="C106" t="s">
        <v>1646</v>
      </c>
      <c r="D106" t="s">
        <v>569</v>
      </c>
      <c r="E106" t="s">
        <v>26</v>
      </c>
      <c r="F106" t="s">
        <v>570</v>
      </c>
      <c r="G106" t="s">
        <v>58</v>
      </c>
      <c r="H106" t="s">
        <v>571</v>
      </c>
      <c r="I106">
        <v>1999</v>
      </c>
      <c r="J106">
        <v>1</v>
      </c>
      <c r="K106" t="s">
        <v>1647</v>
      </c>
      <c r="L106">
        <v>1999</v>
      </c>
      <c r="M106">
        <v>1999</v>
      </c>
      <c r="O106">
        <v>0</v>
      </c>
      <c r="P106">
        <v>0</v>
      </c>
      <c r="Q106" t="s">
        <v>128</v>
      </c>
      <c r="R106" t="s">
        <v>31</v>
      </c>
      <c r="S106" t="s">
        <v>190</v>
      </c>
      <c r="T106" t="s">
        <v>172</v>
      </c>
      <c r="U106" t="s">
        <v>32</v>
      </c>
      <c r="V106" s="4">
        <v>45603</v>
      </c>
      <c r="W106" t="s">
        <v>1648</v>
      </c>
      <c r="X106" t="s">
        <v>1650</v>
      </c>
      <c r="Y106" t="s">
        <v>35</v>
      </c>
      <c r="Z106" t="s">
        <v>49</v>
      </c>
      <c r="AA106" t="s">
        <v>119</v>
      </c>
      <c r="AB106" s="4">
        <v>45633</v>
      </c>
      <c r="AC106" t="s">
        <v>1652</v>
      </c>
      <c r="AD106" t="s">
        <v>1653</v>
      </c>
      <c r="AE106" t="s">
        <v>52</v>
      </c>
    </row>
    <row r="107" spans="1:31" x14ac:dyDescent="0.3">
      <c r="A107" t="s">
        <v>573</v>
      </c>
      <c r="B107" s="4">
        <v>45591</v>
      </c>
      <c r="C107" t="s">
        <v>1646</v>
      </c>
      <c r="D107" t="s">
        <v>574</v>
      </c>
      <c r="E107" t="s">
        <v>40</v>
      </c>
      <c r="F107" t="s">
        <v>575</v>
      </c>
      <c r="G107" t="s">
        <v>42</v>
      </c>
      <c r="H107" t="s">
        <v>576</v>
      </c>
      <c r="I107">
        <v>2499</v>
      </c>
      <c r="J107">
        <v>1</v>
      </c>
      <c r="K107" t="s">
        <v>1647</v>
      </c>
      <c r="L107">
        <v>2499</v>
      </c>
      <c r="M107">
        <v>2499</v>
      </c>
      <c r="O107">
        <v>0</v>
      </c>
      <c r="P107">
        <v>0</v>
      </c>
      <c r="Q107" t="s">
        <v>70</v>
      </c>
      <c r="R107" t="s">
        <v>71</v>
      </c>
      <c r="S107" t="s">
        <v>195</v>
      </c>
      <c r="T107" t="s">
        <v>33</v>
      </c>
      <c r="U107" t="s">
        <v>32</v>
      </c>
      <c r="V107" s="4">
        <v>45604</v>
      </c>
      <c r="W107" t="s">
        <v>1648</v>
      </c>
      <c r="X107" t="s">
        <v>1650</v>
      </c>
      <c r="Y107" t="s">
        <v>35</v>
      </c>
      <c r="Z107" t="s">
        <v>36</v>
      </c>
      <c r="AB107" s="4"/>
      <c r="AC107" t="s">
        <v>1649</v>
      </c>
      <c r="AD107" t="s">
        <v>1651</v>
      </c>
      <c r="AE107" t="s">
        <v>37</v>
      </c>
    </row>
    <row r="108" spans="1:31" x14ac:dyDescent="0.3">
      <c r="A108" t="s">
        <v>577</v>
      </c>
      <c r="B108" s="4">
        <v>45591</v>
      </c>
      <c r="C108" t="s">
        <v>1646</v>
      </c>
      <c r="D108" t="s">
        <v>578</v>
      </c>
      <c r="E108" t="s">
        <v>26</v>
      </c>
      <c r="F108" t="s">
        <v>579</v>
      </c>
      <c r="G108" t="s">
        <v>28</v>
      </c>
      <c r="H108" t="s">
        <v>580</v>
      </c>
      <c r="I108">
        <v>1599</v>
      </c>
      <c r="J108">
        <v>1</v>
      </c>
      <c r="K108" t="s">
        <v>1647</v>
      </c>
      <c r="L108">
        <v>1599</v>
      </c>
      <c r="M108">
        <v>1359.15</v>
      </c>
      <c r="N108" t="s">
        <v>69</v>
      </c>
      <c r="O108">
        <v>15</v>
      </c>
      <c r="P108">
        <v>239.85</v>
      </c>
      <c r="Q108" t="s">
        <v>30</v>
      </c>
      <c r="R108" t="s">
        <v>46</v>
      </c>
      <c r="S108" t="s">
        <v>202</v>
      </c>
      <c r="T108" t="s">
        <v>73</v>
      </c>
      <c r="U108" t="s">
        <v>61</v>
      </c>
      <c r="V108" s="4">
        <v>45602</v>
      </c>
      <c r="W108" t="s">
        <v>1648</v>
      </c>
      <c r="X108" t="s">
        <v>1650</v>
      </c>
      <c r="Y108" t="s">
        <v>35</v>
      </c>
      <c r="Z108" t="s">
        <v>49</v>
      </c>
      <c r="AA108" t="s">
        <v>50</v>
      </c>
      <c r="AB108" s="4">
        <v>45631</v>
      </c>
      <c r="AC108" t="s">
        <v>1652</v>
      </c>
      <c r="AD108" t="s">
        <v>1653</v>
      </c>
      <c r="AE108" t="s">
        <v>52</v>
      </c>
    </row>
    <row r="109" spans="1:31" x14ac:dyDescent="0.3">
      <c r="A109" t="s">
        <v>581</v>
      </c>
      <c r="B109" s="4">
        <v>45592</v>
      </c>
      <c r="C109" t="s">
        <v>1646</v>
      </c>
      <c r="D109" t="s">
        <v>582</v>
      </c>
      <c r="E109" t="s">
        <v>26</v>
      </c>
      <c r="F109" t="s">
        <v>583</v>
      </c>
      <c r="G109" t="s">
        <v>67</v>
      </c>
      <c r="H109" t="s">
        <v>584</v>
      </c>
      <c r="I109">
        <v>3999</v>
      </c>
      <c r="J109">
        <v>1</v>
      </c>
      <c r="K109" t="s">
        <v>1647</v>
      </c>
      <c r="L109">
        <v>3999</v>
      </c>
      <c r="M109">
        <v>3999</v>
      </c>
      <c r="O109">
        <v>0</v>
      </c>
      <c r="P109">
        <v>0</v>
      </c>
      <c r="Q109" t="s">
        <v>45</v>
      </c>
      <c r="R109" t="s">
        <v>31</v>
      </c>
      <c r="S109" t="s">
        <v>208</v>
      </c>
      <c r="T109" t="s">
        <v>209</v>
      </c>
      <c r="U109" t="s">
        <v>61</v>
      </c>
      <c r="V109" s="4">
        <v>45605</v>
      </c>
      <c r="W109" t="s">
        <v>1648</v>
      </c>
      <c r="X109" t="s">
        <v>1650</v>
      </c>
      <c r="Y109" t="s">
        <v>35</v>
      </c>
      <c r="Z109" t="s">
        <v>36</v>
      </c>
      <c r="AB109" s="4"/>
      <c r="AC109" t="s">
        <v>1649</v>
      </c>
      <c r="AD109" t="s">
        <v>1651</v>
      </c>
      <c r="AE109" t="s">
        <v>37</v>
      </c>
    </row>
    <row r="110" spans="1:31" x14ac:dyDescent="0.3">
      <c r="A110" t="s">
        <v>586</v>
      </c>
      <c r="B110" s="4">
        <v>45592</v>
      </c>
      <c r="C110" t="s">
        <v>1646</v>
      </c>
      <c r="D110" t="s">
        <v>587</v>
      </c>
      <c r="E110" t="s">
        <v>26</v>
      </c>
      <c r="F110" t="s">
        <v>588</v>
      </c>
      <c r="G110" t="s">
        <v>79</v>
      </c>
      <c r="H110" t="s">
        <v>589</v>
      </c>
      <c r="I110">
        <v>599</v>
      </c>
      <c r="J110">
        <v>2</v>
      </c>
      <c r="K110" t="s">
        <v>1647</v>
      </c>
      <c r="L110">
        <v>1198</v>
      </c>
      <c r="M110">
        <v>1198</v>
      </c>
      <c r="O110">
        <v>0</v>
      </c>
      <c r="P110">
        <v>0</v>
      </c>
      <c r="Q110" t="s">
        <v>60</v>
      </c>
      <c r="R110" t="s">
        <v>71</v>
      </c>
      <c r="S110" t="s">
        <v>215</v>
      </c>
      <c r="T110" t="s">
        <v>216</v>
      </c>
      <c r="U110" t="s">
        <v>61</v>
      </c>
      <c r="V110" s="4">
        <v>45603</v>
      </c>
      <c r="W110" t="s">
        <v>1648</v>
      </c>
      <c r="X110" t="s">
        <v>1650</v>
      </c>
      <c r="Y110" t="s">
        <v>35</v>
      </c>
      <c r="Z110" t="s">
        <v>49</v>
      </c>
      <c r="AA110" t="s">
        <v>158</v>
      </c>
      <c r="AB110" s="4">
        <v>45632</v>
      </c>
      <c r="AC110" t="s">
        <v>1652</v>
      </c>
      <c r="AD110" t="s">
        <v>1653</v>
      </c>
      <c r="AE110" t="s">
        <v>52</v>
      </c>
    </row>
    <row r="111" spans="1:31" x14ac:dyDescent="0.3">
      <c r="A111" t="s">
        <v>590</v>
      </c>
      <c r="B111" s="4">
        <v>45592</v>
      </c>
      <c r="C111" t="s">
        <v>1646</v>
      </c>
      <c r="D111" t="s">
        <v>591</v>
      </c>
      <c r="E111" t="s">
        <v>40</v>
      </c>
      <c r="F111" t="s">
        <v>592</v>
      </c>
      <c r="G111" t="s">
        <v>58</v>
      </c>
      <c r="H111" t="s">
        <v>593</v>
      </c>
      <c r="I111">
        <v>1799</v>
      </c>
      <c r="J111">
        <v>1</v>
      </c>
      <c r="K111" t="s">
        <v>1647</v>
      </c>
      <c r="L111">
        <v>1799</v>
      </c>
      <c r="M111">
        <v>1439.2</v>
      </c>
      <c r="N111" t="s">
        <v>44</v>
      </c>
      <c r="O111">
        <v>20</v>
      </c>
      <c r="P111">
        <v>359.8</v>
      </c>
      <c r="Q111" t="s">
        <v>30</v>
      </c>
      <c r="R111" t="s">
        <v>46</v>
      </c>
      <c r="S111" t="s">
        <v>221</v>
      </c>
      <c r="T111" t="s">
        <v>209</v>
      </c>
      <c r="U111" t="s">
        <v>61</v>
      </c>
      <c r="V111" s="4">
        <v>45604</v>
      </c>
      <c r="W111" t="s">
        <v>1648</v>
      </c>
      <c r="X111" t="s">
        <v>1650</v>
      </c>
      <c r="Y111" t="s">
        <v>35</v>
      </c>
      <c r="Z111" t="s">
        <v>36</v>
      </c>
      <c r="AB111" s="4"/>
      <c r="AC111" t="s">
        <v>1649</v>
      </c>
      <c r="AD111" t="s">
        <v>1651</v>
      </c>
      <c r="AE111" t="s">
        <v>37</v>
      </c>
    </row>
    <row r="112" spans="1:31" x14ac:dyDescent="0.3">
      <c r="A112" t="s">
        <v>594</v>
      </c>
      <c r="B112" s="4">
        <v>45593</v>
      </c>
      <c r="C112" t="s">
        <v>1646</v>
      </c>
      <c r="D112" t="s">
        <v>595</v>
      </c>
      <c r="E112" t="s">
        <v>26</v>
      </c>
      <c r="F112" t="s">
        <v>596</v>
      </c>
      <c r="G112" t="s">
        <v>42</v>
      </c>
      <c r="H112" t="s">
        <v>597</v>
      </c>
      <c r="I112">
        <v>3499</v>
      </c>
      <c r="J112">
        <v>1</v>
      </c>
      <c r="K112" t="s">
        <v>1647</v>
      </c>
      <c r="L112">
        <v>3499</v>
      </c>
      <c r="M112">
        <v>2099.4</v>
      </c>
      <c r="N112" t="s">
        <v>598</v>
      </c>
      <c r="O112">
        <v>40</v>
      </c>
      <c r="P112">
        <v>1399.6</v>
      </c>
      <c r="Q112" t="s">
        <v>45</v>
      </c>
      <c r="R112" t="s">
        <v>31</v>
      </c>
      <c r="S112" t="s">
        <v>47</v>
      </c>
      <c r="T112" t="s">
        <v>47</v>
      </c>
      <c r="U112" t="s">
        <v>47</v>
      </c>
      <c r="V112" s="4">
        <v>45598</v>
      </c>
      <c r="W112" t="s">
        <v>1648</v>
      </c>
      <c r="X112" t="s">
        <v>1650</v>
      </c>
      <c r="Y112" t="s">
        <v>35</v>
      </c>
      <c r="Z112" t="s">
        <v>49</v>
      </c>
      <c r="AA112" t="s">
        <v>50</v>
      </c>
      <c r="AB112" s="4">
        <v>45614</v>
      </c>
      <c r="AC112" t="s">
        <v>1652</v>
      </c>
      <c r="AD112" t="s">
        <v>1653</v>
      </c>
      <c r="AE112" t="s">
        <v>52</v>
      </c>
    </row>
    <row r="113" spans="1:31" x14ac:dyDescent="0.3">
      <c r="A113" t="s">
        <v>599</v>
      </c>
      <c r="B113" s="4">
        <v>45593</v>
      </c>
      <c r="C113" t="s">
        <v>1646</v>
      </c>
      <c r="D113" t="s">
        <v>600</v>
      </c>
      <c r="E113" t="s">
        <v>26</v>
      </c>
      <c r="F113" t="s">
        <v>601</v>
      </c>
      <c r="G113" t="s">
        <v>67</v>
      </c>
      <c r="H113" t="s">
        <v>602</v>
      </c>
      <c r="I113">
        <v>5999</v>
      </c>
      <c r="J113">
        <v>1</v>
      </c>
      <c r="K113" t="s">
        <v>1647</v>
      </c>
      <c r="L113">
        <v>5999</v>
      </c>
      <c r="M113">
        <v>3599.4</v>
      </c>
      <c r="N113" t="s">
        <v>598</v>
      </c>
      <c r="O113">
        <v>40</v>
      </c>
      <c r="P113">
        <v>2399.6</v>
      </c>
      <c r="Q113" t="s">
        <v>60</v>
      </c>
      <c r="R113" t="s">
        <v>46</v>
      </c>
      <c r="S113" t="s">
        <v>32</v>
      </c>
      <c r="T113" t="s">
        <v>33</v>
      </c>
      <c r="U113" t="s">
        <v>32</v>
      </c>
      <c r="V113" s="4">
        <v>45599</v>
      </c>
      <c r="W113" t="s">
        <v>1648</v>
      </c>
      <c r="X113" t="s">
        <v>1650</v>
      </c>
      <c r="Y113" t="s">
        <v>35</v>
      </c>
      <c r="Z113" t="s">
        <v>49</v>
      </c>
      <c r="AA113" t="s">
        <v>119</v>
      </c>
      <c r="AB113" s="4">
        <v>45616</v>
      </c>
      <c r="AC113" t="s">
        <v>1652</v>
      </c>
      <c r="AD113" t="s">
        <v>1653</v>
      </c>
      <c r="AE113" t="s">
        <v>52</v>
      </c>
    </row>
    <row r="114" spans="1:31" x14ac:dyDescent="0.3">
      <c r="A114" t="s">
        <v>603</v>
      </c>
      <c r="B114" s="4">
        <v>45593</v>
      </c>
      <c r="C114" t="s">
        <v>1646</v>
      </c>
      <c r="D114" t="s">
        <v>604</v>
      </c>
      <c r="E114" t="s">
        <v>26</v>
      </c>
      <c r="F114" t="s">
        <v>605</v>
      </c>
      <c r="G114" t="s">
        <v>28</v>
      </c>
      <c r="H114" t="s">
        <v>606</v>
      </c>
      <c r="I114">
        <v>2299</v>
      </c>
      <c r="J114">
        <v>2</v>
      </c>
      <c r="K114" t="s">
        <v>1647</v>
      </c>
      <c r="L114">
        <v>4598</v>
      </c>
      <c r="M114">
        <v>2758.8</v>
      </c>
      <c r="N114" t="s">
        <v>598</v>
      </c>
      <c r="O114">
        <v>40</v>
      </c>
      <c r="P114">
        <v>1839.2</v>
      </c>
      <c r="Q114" t="s">
        <v>30</v>
      </c>
      <c r="R114" t="s">
        <v>71</v>
      </c>
      <c r="S114" t="s">
        <v>116</v>
      </c>
      <c r="T114" t="s">
        <v>117</v>
      </c>
      <c r="U114" t="s">
        <v>47</v>
      </c>
      <c r="V114" s="4">
        <v>45600</v>
      </c>
      <c r="W114" t="s">
        <v>1648</v>
      </c>
      <c r="X114" t="s">
        <v>1650</v>
      </c>
      <c r="Y114" t="s">
        <v>35</v>
      </c>
      <c r="Z114" t="s">
        <v>49</v>
      </c>
      <c r="AA114" t="s">
        <v>50</v>
      </c>
      <c r="AB114" s="4">
        <v>45618</v>
      </c>
      <c r="AC114" t="s">
        <v>1652</v>
      </c>
      <c r="AD114" t="s">
        <v>1653</v>
      </c>
      <c r="AE114" t="s">
        <v>52</v>
      </c>
    </row>
    <row r="115" spans="1:31" x14ac:dyDescent="0.3">
      <c r="A115" t="s">
        <v>607</v>
      </c>
      <c r="B115" s="4">
        <v>45593</v>
      </c>
      <c r="C115" t="s">
        <v>1646</v>
      </c>
      <c r="D115" t="s">
        <v>608</v>
      </c>
      <c r="E115" t="s">
        <v>40</v>
      </c>
      <c r="F115" t="s">
        <v>412</v>
      </c>
      <c r="G115" t="s">
        <v>79</v>
      </c>
      <c r="H115" t="s">
        <v>609</v>
      </c>
      <c r="I115">
        <v>1599</v>
      </c>
      <c r="J115">
        <v>1</v>
      </c>
      <c r="K115" t="s">
        <v>1647</v>
      </c>
      <c r="L115">
        <v>1599</v>
      </c>
      <c r="M115">
        <v>959.4</v>
      </c>
      <c r="N115" t="s">
        <v>598</v>
      </c>
      <c r="O115">
        <v>40</v>
      </c>
      <c r="P115">
        <v>639.6</v>
      </c>
      <c r="Q115" t="s">
        <v>45</v>
      </c>
      <c r="R115" t="s">
        <v>31</v>
      </c>
      <c r="S115" t="s">
        <v>129</v>
      </c>
      <c r="T115" t="s">
        <v>130</v>
      </c>
      <c r="U115" t="s">
        <v>47</v>
      </c>
      <c r="V115" s="4">
        <v>45599</v>
      </c>
      <c r="W115" t="s">
        <v>1648</v>
      </c>
      <c r="X115" t="s">
        <v>1650</v>
      </c>
      <c r="Y115" t="s">
        <v>35</v>
      </c>
      <c r="Z115" t="s">
        <v>36</v>
      </c>
      <c r="AB115" s="4"/>
      <c r="AC115" t="s">
        <v>1649</v>
      </c>
      <c r="AD115" t="s">
        <v>1651</v>
      </c>
      <c r="AE115" t="s">
        <v>37</v>
      </c>
    </row>
    <row r="116" spans="1:31" x14ac:dyDescent="0.3">
      <c r="A116" t="s">
        <v>610</v>
      </c>
      <c r="B116" s="4">
        <v>45593</v>
      </c>
      <c r="C116" t="s">
        <v>1646</v>
      </c>
      <c r="D116" t="s">
        <v>611</v>
      </c>
      <c r="E116" t="s">
        <v>26</v>
      </c>
      <c r="F116" t="s">
        <v>612</v>
      </c>
      <c r="G116" t="s">
        <v>58</v>
      </c>
      <c r="H116" t="s">
        <v>286</v>
      </c>
      <c r="I116">
        <v>1899</v>
      </c>
      <c r="J116">
        <v>1</v>
      </c>
      <c r="K116" t="s">
        <v>1647</v>
      </c>
      <c r="L116">
        <v>1899</v>
      </c>
      <c r="M116">
        <v>1139.4000000000001</v>
      </c>
      <c r="N116" t="s">
        <v>598</v>
      </c>
      <c r="O116">
        <v>40</v>
      </c>
      <c r="P116">
        <v>759.6</v>
      </c>
      <c r="Q116" t="s">
        <v>60</v>
      </c>
      <c r="R116" t="s">
        <v>46</v>
      </c>
      <c r="S116" t="s">
        <v>72</v>
      </c>
      <c r="T116" t="s">
        <v>73</v>
      </c>
      <c r="U116" t="s">
        <v>61</v>
      </c>
      <c r="V116" s="4"/>
      <c r="W116" t="s">
        <v>1656</v>
      </c>
      <c r="X116" t="s">
        <v>1657</v>
      </c>
      <c r="Y116" t="s">
        <v>137</v>
      </c>
      <c r="Z116" t="s">
        <v>36</v>
      </c>
      <c r="AB116" s="4"/>
      <c r="AC116" t="s">
        <v>1656</v>
      </c>
      <c r="AD116" t="s">
        <v>1651</v>
      </c>
      <c r="AE116" t="s">
        <v>37</v>
      </c>
    </row>
    <row r="117" spans="1:31" x14ac:dyDescent="0.3">
      <c r="A117" t="s">
        <v>613</v>
      </c>
      <c r="B117" s="4">
        <v>45594</v>
      </c>
      <c r="C117" t="s">
        <v>1646</v>
      </c>
      <c r="D117" t="s">
        <v>614</v>
      </c>
      <c r="E117" t="s">
        <v>26</v>
      </c>
      <c r="F117" t="s">
        <v>615</v>
      </c>
      <c r="G117" t="s">
        <v>42</v>
      </c>
      <c r="H117" t="s">
        <v>616</v>
      </c>
      <c r="I117">
        <v>4299</v>
      </c>
      <c r="J117">
        <v>1</v>
      </c>
      <c r="K117" t="s">
        <v>1647</v>
      </c>
      <c r="L117">
        <v>4299</v>
      </c>
      <c r="M117">
        <v>2579.4</v>
      </c>
      <c r="N117" t="s">
        <v>598</v>
      </c>
      <c r="O117">
        <v>40</v>
      </c>
      <c r="P117">
        <v>1719.6</v>
      </c>
      <c r="Q117" t="s">
        <v>70</v>
      </c>
      <c r="R117" t="s">
        <v>31</v>
      </c>
      <c r="S117" t="s">
        <v>86</v>
      </c>
      <c r="T117" t="s">
        <v>87</v>
      </c>
      <c r="U117" t="s">
        <v>61</v>
      </c>
      <c r="V117" s="4">
        <v>45601</v>
      </c>
      <c r="W117" t="s">
        <v>1648</v>
      </c>
      <c r="X117" t="s">
        <v>1650</v>
      </c>
      <c r="Y117" t="s">
        <v>35</v>
      </c>
      <c r="Z117" t="s">
        <v>49</v>
      </c>
      <c r="AA117" t="s">
        <v>75</v>
      </c>
      <c r="AB117" s="4">
        <v>45621</v>
      </c>
      <c r="AC117" t="s">
        <v>1652</v>
      </c>
      <c r="AD117" t="s">
        <v>1653</v>
      </c>
      <c r="AE117" t="s">
        <v>52</v>
      </c>
    </row>
    <row r="118" spans="1:31" x14ac:dyDescent="0.3">
      <c r="A118" t="s">
        <v>617</v>
      </c>
      <c r="B118" s="4">
        <v>45594</v>
      </c>
      <c r="C118" t="s">
        <v>1646</v>
      </c>
      <c r="D118" t="s">
        <v>618</v>
      </c>
      <c r="E118" t="s">
        <v>26</v>
      </c>
      <c r="F118" t="s">
        <v>619</v>
      </c>
      <c r="G118" t="s">
        <v>28</v>
      </c>
      <c r="H118" t="s">
        <v>620</v>
      </c>
      <c r="I118">
        <v>2599</v>
      </c>
      <c r="J118">
        <v>1</v>
      </c>
      <c r="K118" t="s">
        <v>1647</v>
      </c>
      <c r="L118">
        <v>2599</v>
      </c>
      <c r="M118">
        <v>1559.4</v>
      </c>
      <c r="N118" t="s">
        <v>598</v>
      </c>
      <c r="O118">
        <v>40</v>
      </c>
      <c r="P118">
        <v>1039.5999999999999</v>
      </c>
      <c r="Q118" t="s">
        <v>30</v>
      </c>
      <c r="R118" t="s">
        <v>71</v>
      </c>
      <c r="S118" t="s">
        <v>95</v>
      </c>
      <c r="T118" t="s">
        <v>33</v>
      </c>
      <c r="U118" t="s">
        <v>32</v>
      </c>
      <c r="V118" s="4">
        <v>45602</v>
      </c>
      <c r="W118" t="s">
        <v>1648</v>
      </c>
      <c r="X118" t="s">
        <v>1650</v>
      </c>
      <c r="Y118" t="s">
        <v>35</v>
      </c>
      <c r="Z118" t="s">
        <v>49</v>
      </c>
      <c r="AA118" t="s">
        <v>89</v>
      </c>
      <c r="AB118" s="4">
        <v>45624</v>
      </c>
      <c r="AC118" t="s">
        <v>1652</v>
      </c>
      <c r="AD118" t="s">
        <v>1653</v>
      </c>
      <c r="AE118" t="s">
        <v>121</v>
      </c>
    </row>
    <row r="119" spans="1:31" x14ac:dyDescent="0.3">
      <c r="A119" t="s">
        <v>621</v>
      </c>
      <c r="B119" s="4">
        <v>45594</v>
      </c>
      <c r="C119" t="s">
        <v>1646</v>
      </c>
      <c r="D119" t="s">
        <v>622</v>
      </c>
      <c r="E119" t="s">
        <v>26</v>
      </c>
      <c r="F119" t="s">
        <v>540</v>
      </c>
      <c r="G119" t="s">
        <v>67</v>
      </c>
      <c r="H119" t="s">
        <v>623</v>
      </c>
      <c r="I119">
        <v>3999</v>
      </c>
      <c r="J119">
        <v>1</v>
      </c>
      <c r="K119" t="s">
        <v>1647</v>
      </c>
      <c r="L119">
        <v>3999</v>
      </c>
      <c r="M119">
        <v>2399.4</v>
      </c>
      <c r="N119" t="s">
        <v>598</v>
      </c>
      <c r="O119">
        <v>40</v>
      </c>
      <c r="P119">
        <v>1599.6</v>
      </c>
      <c r="Q119" t="s">
        <v>45</v>
      </c>
      <c r="R119" t="s">
        <v>46</v>
      </c>
      <c r="S119" t="s">
        <v>624</v>
      </c>
      <c r="T119" t="s">
        <v>136</v>
      </c>
      <c r="U119" t="s">
        <v>47</v>
      </c>
      <c r="V119" s="4">
        <v>45603</v>
      </c>
      <c r="W119" t="s">
        <v>1648</v>
      </c>
      <c r="X119" t="s">
        <v>1650</v>
      </c>
      <c r="Y119" t="s">
        <v>35</v>
      </c>
      <c r="Z119" t="s">
        <v>49</v>
      </c>
      <c r="AA119" t="s">
        <v>50</v>
      </c>
      <c r="AB119" s="4">
        <v>45627</v>
      </c>
      <c r="AC119" t="s">
        <v>1652</v>
      </c>
      <c r="AD119" t="s">
        <v>1653</v>
      </c>
      <c r="AE119" t="s">
        <v>52</v>
      </c>
    </row>
    <row r="120" spans="1:31" x14ac:dyDescent="0.3">
      <c r="A120" t="s">
        <v>625</v>
      </c>
      <c r="B120" s="4">
        <v>45594</v>
      </c>
      <c r="C120" t="s">
        <v>1646</v>
      </c>
      <c r="D120" t="s">
        <v>626</v>
      </c>
      <c r="E120" t="s">
        <v>40</v>
      </c>
      <c r="F120" t="s">
        <v>627</v>
      </c>
      <c r="G120" t="s">
        <v>42</v>
      </c>
      <c r="H120" t="s">
        <v>628</v>
      </c>
      <c r="I120">
        <v>8999</v>
      </c>
      <c r="J120">
        <v>1</v>
      </c>
      <c r="K120" t="s">
        <v>1647</v>
      </c>
      <c r="L120">
        <v>8999</v>
      </c>
      <c r="M120">
        <v>5399.4</v>
      </c>
      <c r="N120" t="s">
        <v>598</v>
      </c>
      <c r="O120">
        <v>40</v>
      </c>
      <c r="P120">
        <v>3599.6</v>
      </c>
      <c r="Q120" t="s">
        <v>45</v>
      </c>
      <c r="R120" t="s">
        <v>31</v>
      </c>
      <c r="S120" t="s">
        <v>108</v>
      </c>
      <c r="T120" t="s">
        <v>109</v>
      </c>
      <c r="U120" t="s">
        <v>32</v>
      </c>
      <c r="V120" s="4">
        <v>45602</v>
      </c>
      <c r="W120" t="s">
        <v>1648</v>
      </c>
      <c r="X120" t="s">
        <v>1650</v>
      </c>
      <c r="Y120" t="s">
        <v>35</v>
      </c>
      <c r="Z120" t="s">
        <v>49</v>
      </c>
      <c r="AA120" t="s">
        <v>50</v>
      </c>
      <c r="AB120" s="4">
        <v>45628</v>
      </c>
      <c r="AC120" t="s">
        <v>1652</v>
      </c>
      <c r="AD120" t="s">
        <v>1653</v>
      </c>
      <c r="AE120" t="s">
        <v>52</v>
      </c>
    </row>
    <row r="121" spans="1:31" x14ac:dyDescent="0.3">
      <c r="A121" t="s">
        <v>629</v>
      </c>
      <c r="B121" s="4">
        <v>45594</v>
      </c>
      <c r="C121" t="s">
        <v>1646</v>
      </c>
      <c r="D121" t="s">
        <v>630</v>
      </c>
      <c r="E121" t="s">
        <v>26</v>
      </c>
      <c r="F121" t="s">
        <v>631</v>
      </c>
      <c r="G121" t="s">
        <v>79</v>
      </c>
      <c r="H121" t="s">
        <v>632</v>
      </c>
      <c r="I121">
        <v>1299</v>
      </c>
      <c r="J121">
        <v>2</v>
      </c>
      <c r="K121" t="s">
        <v>1647</v>
      </c>
      <c r="L121">
        <v>2598</v>
      </c>
      <c r="M121">
        <v>1558.8</v>
      </c>
      <c r="N121" t="s">
        <v>598</v>
      </c>
      <c r="O121">
        <v>40</v>
      </c>
      <c r="P121">
        <v>1039.2</v>
      </c>
      <c r="Q121" t="s">
        <v>60</v>
      </c>
      <c r="R121" t="s">
        <v>71</v>
      </c>
      <c r="S121" t="s">
        <v>101</v>
      </c>
      <c r="T121" t="s">
        <v>102</v>
      </c>
      <c r="U121" t="s">
        <v>47</v>
      </c>
      <c r="V121" s="4">
        <v>45604</v>
      </c>
      <c r="W121" t="s">
        <v>1648</v>
      </c>
      <c r="X121" t="s">
        <v>1650</v>
      </c>
      <c r="Y121" t="s">
        <v>35</v>
      </c>
      <c r="Z121" t="s">
        <v>49</v>
      </c>
      <c r="AA121" t="s">
        <v>158</v>
      </c>
      <c r="AB121" s="4">
        <v>45626</v>
      </c>
      <c r="AC121" t="s">
        <v>1652</v>
      </c>
      <c r="AD121" t="s">
        <v>1653</v>
      </c>
      <c r="AE121" t="s">
        <v>52</v>
      </c>
    </row>
    <row r="122" spans="1:31" x14ac:dyDescent="0.3">
      <c r="A122" t="s">
        <v>633</v>
      </c>
      <c r="B122" s="4">
        <v>45594</v>
      </c>
      <c r="C122" t="s">
        <v>1646</v>
      </c>
      <c r="D122" t="s">
        <v>634</v>
      </c>
      <c r="E122" t="s">
        <v>26</v>
      </c>
      <c r="F122" t="s">
        <v>635</v>
      </c>
      <c r="G122" t="s">
        <v>28</v>
      </c>
      <c r="H122" t="s">
        <v>636</v>
      </c>
      <c r="I122">
        <v>1999</v>
      </c>
      <c r="J122">
        <v>1</v>
      </c>
      <c r="K122" t="s">
        <v>1647</v>
      </c>
      <c r="L122">
        <v>1999</v>
      </c>
      <c r="M122">
        <v>1199.4000000000001</v>
      </c>
      <c r="N122" t="s">
        <v>598</v>
      </c>
      <c r="O122">
        <v>40</v>
      </c>
      <c r="P122">
        <v>799.6</v>
      </c>
      <c r="Q122" t="s">
        <v>30</v>
      </c>
      <c r="R122" t="s">
        <v>46</v>
      </c>
      <c r="S122" t="s">
        <v>61</v>
      </c>
      <c r="T122" t="s">
        <v>62</v>
      </c>
      <c r="U122" t="s">
        <v>61</v>
      </c>
      <c r="V122" s="4">
        <v>45603</v>
      </c>
      <c r="W122" t="s">
        <v>1648</v>
      </c>
      <c r="X122" t="s">
        <v>1650</v>
      </c>
      <c r="Y122" t="s">
        <v>35</v>
      </c>
      <c r="Z122" t="s">
        <v>49</v>
      </c>
      <c r="AA122" t="s">
        <v>75</v>
      </c>
      <c r="AB122" s="4">
        <v>45629</v>
      </c>
      <c r="AC122" t="s">
        <v>1652</v>
      </c>
      <c r="AD122" t="s">
        <v>1653</v>
      </c>
      <c r="AE122" t="s">
        <v>52</v>
      </c>
    </row>
    <row r="123" spans="1:31" x14ac:dyDescent="0.3">
      <c r="A123" t="s">
        <v>637</v>
      </c>
      <c r="B123" s="4">
        <v>45595</v>
      </c>
      <c r="C123" t="s">
        <v>1646</v>
      </c>
      <c r="D123" t="s">
        <v>638</v>
      </c>
      <c r="E123" t="s">
        <v>26</v>
      </c>
      <c r="F123" t="s">
        <v>639</v>
      </c>
      <c r="G123" t="s">
        <v>58</v>
      </c>
      <c r="H123" t="s">
        <v>640</v>
      </c>
      <c r="I123">
        <v>5499</v>
      </c>
      <c r="J123">
        <v>1</v>
      </c>
      <c r="K123" t="s">
        <v>1647</v>
      </c>
      <c r="L123">
        <v>5499</v>
      </c>
      <c r="M123">
        <v>3299.4</v>
      </c>
      <c r="N123" t="s">
        <v>598</v>
      </c>
      <c r="O123">
        <v>40</v>
      </c>
      <c r="P123">
        <v>2199.6</v>
      </c>
      <c r="Q123" t="s">
        <v>128</v>
      </c>
      <c r="R123" t="s">
        <v>31</v>
      </c>
      <c r="S123" t="s">
        <v>177</v>
      </c>
      <c r="T123" t="s">
        <v>109</v>
      </c>
      <c r="U123" t="s">
        <v>32</v>
      </c>
      <c r="V123" s="4">
        <v>45604</v>
      </c>
      <c r="W123" t="s">
        <v>1648</v>
      </c>
      <c r="X123" t="s">
        <v>1650</v>
      </c>
      <c r="Y123" t="s">
        <v>35</v>
      </c>
      <c r="Z123" t="s">
        <v>49</v>
      </c>
      <c r="AA123" t="s">
        <v>50</v>
      </c>
      <c r="AB123" s="4">
        <v>45627</v>
      </c>
      <c r="AC123" t="s">
        <v>1652</v>
      </c>
      <c r="AD123" t="s">
        <v>1653</v>
      </c>
      <c r="AE123" t="s">
        <v>52</v>
      </c>
    </row>
    <row r="124" spans="1:31" x14ac:dyDescent="0.3">
      <c r="A124" t="s">
        <v>641</v>
      </c>
      <c r="B124" s="4">
        <v>45595</v>
      </c>
      <c r="C124" t="s">
        <v>1646</v>
      </c>
      <c r="D124" t="s">
        <v>642</v>
      </c>
      <c r="E124" t="s">
        <v>26</v>
      </c>
      <c r="F124" t="s">
        <v>643</v>
      </c>
      <c r="G124" t="s">
        <v>42</v>
      </c>
      <c r="H124" t="s">
        <v>644</v>
      </c>
      <c r="I124">
        <v>6999</v>
      </c>
      <c r="J124">
        <v>1</v>
      </c>
      <c r="K124" t="s">
        <v>1647</v>
      </c>
      <c r="L124">
        <v>6999</v>
      </c>
      <c r="M124">
        <v>4199.3999999999996</v>
      </c>
      <c r="N124" t="s">
        <v>598</v>
      </c>
      <c r="O124">
        <v>40</v>
      </c>
      <c r="P124">
        <v>2799.6</v>
      </c>
      <c r="Q124" t="s">
        <v>45</v>
      </c>
      <c r="R124" t="s">
        <v>71</v>
      </c>
      <c r="S124" t="s">
        <v>32</v>
      </c>
      <c r="T124" t="s">
        <v>33</v>
      </c>
      <c r="U124" t="s">
        <v>32</v>
      </c>
      <c r="V124" s="4">
        <v>45605</v>
      </c>
      <c r="W124" t="s">
        <v>1648</v>
      </c>
      <c r="X124" t="s">
        <v>1650</v>
      </c>
      <c r="Y124" t="s">
        <v>35</v>
      </c>
      <c r="Z124" t="s">
        <v>49</v>
      </c>
      <c r="AA124" t="s">
        <v>50</v>
      </c>
      <c r="AB124" s="4">
        <v>45629</v>
      </c>
      <c r="AC124" t="s">
        <v>1652</v>
      </c>
      <c r="AD124" t="s">
        <v>1653</v>
      </c>
      <c r="AE124" t="s">
        <v>52</v>
      </c>
    </row>
    <row r="125" spans="1:31" x14ac:dyDescent="0.3">
      <c r="A125" t="s">
        <v>645</v>
      </c>
      <c r="B125" s="4">
        <v>45595</v>
      </c>
      <c r="C125" t="s">
        <v>1646</v>
      </c>
      <c r="D125" t="s">
        <v>646</v>
      </c>
      <c r="E125" t="s">
        <v>40</v>
      </c>
      <c r="F125" t="s">
        <v>647</v>
      </c>
      <c r="G125" t="s">
        <v>67</v>
      </c>
      <c r="H125" t="s">
        <v>648</v>
      </c>
      <c r="I125">
        <v>4999</v>
      </c>
      <c r="J125">
        <v>1</v>
      </c>
      <c r="K125" t="s">
        <v>1647</v>
      </c>
      <c r="L125">
        <v>4999</v>
      </c>
      <c r="M125">
        <v>2999.4</v>
      </c>
      <c r="N125" t="s">
        <v>598</v>
      </c>
      <c r="O125">
        <v>40</v>
      </c>
      <c r="P125">
        <v>1999.6</v>
      </c>
      <c r="Q125" t="s">
        <v>70</v>
      </c>
      <c r="R125" t="s">
        <v>46</v>
      </c>
      <c r="S125" t="s">
        <v>47</v>
      </c>
      <c r="T125" t="s">
        <v>47</v>
      </c>
      <c r="U125" t="s">
        <v>47</v>
      </c>
      <c r="V125" s="4">
        <v>45606</v>
      </c>
      <c r="W125" t="s">
        <v>1648</v>
      </c>
      <c r="X125" t="s">
        <v>1650</v>
      </c>
      <c r="Y125" t="s">
        <v>35</v>
      </c>
      <c r="Z125" t="s">
        <v>36</v>
      </c>
      <c r="AB125" s="4"/>
      <c r="AC125" t="s">
        <v>1649</v>
      </c>
      <c r="AD125" t="s">
        <v>1651</v>
      </c>
      <c r="AE125" t="s">
        <v>37</v>
      </c>
    </row>
    <row r="126" spans="1:31" x14ac:dyDescent="0.3">
      <c r="A126" t="s">
        <v>649</v>
      </c>
      <c r="B126" s="4">
        <v>45595</v>
      </c>
      <c r="C126" t="s">
        <v>1646</v>
      </c>
      <c r="D126" t="s">
        <v>650</v>
      </c>
      <c r="E126" t="s">
        <v>26</v>
      </c>
      <c r="F126" t="s">
        <v>651</v>
      </c>
      <c r="G126" t="s">
        <v>79</v>
      </c>
      <c r="H126" t="s">
        <v>652</v>
      </c>
      <c r="I126">
        <v>899</v>
      </c>
      <c r="J126">
        <v>1</v>
      </c>
      <c r="K126" t="s">
        <v>1647</v>
      </c>
      <c r="L126">
        <v>899</v>
      </c>
      <c r="M126">
        <v>539.4</v>
      </c>
      <c r="N126" t="s">
        <v>598</v>
      </c>
      <c r="O126">
        <v>40</v>
      </c>
      <c r="P126">
        <v>359.6</v>
      </c>
      <c r="Q126" t="s">
        <v>30</v>
      </c>
      <c r="R126" t="s">
        <v>31</v>
      </c>
      <c r="S126" t="s">
        <v>653</v>
      </c>
      <c r="T126" t="s">
        <v>130</v>
      </c>
      <c r="U126" t="s">
        <v>47</v>
      </c>
      <c r="V126" s="4">
        <v>45606</v>
      </c>
      <c r="W126" t="s">
        <v>1648</v>
      </c>
      <c r="X126" t="s">
        <v>1650</v>
      </c>
      <c r="Y126" t="s">
        <v>35</v>
      </c>
      <c r="Z126" t="s">
        <v>36</v>
      </c>
      <c r="AB126" s="4"/>
      <c r="AC126" t="s">
        <v>1649</v>
      </c>
      <c r="AD126" t="s">
        <v>1651</v>
      </c>
      <c r="AE126" t="s">
        <v>37</v>
      </c>
    </row>
    <row r="127" spans="1:31" x14ac:dyDescent="0.3">
      <c r="A127" t="s">
        <v>654</v>
      </c>
      <c r="B127" s="4">
        <v>45595</v>
      </c>
      <c r="C127" t="s">
        <v>1646</v>
      </c>
      <c r="D127" t="s">
        <v>655</v>
      </c>
      <c r="E127" t="s">
        <v>26</v>
      </c>
      <c r="F127" t="s">
        <v>656</v>
      </c>
      <c r="G127" t="s">
        <v>28</v>
      </c>
      <c r="H127" t="s">
        <v>657</v>
      </c>
      <c r="I127">
        <v>3299</v>
      </c>
      <c r="J127">
        <v>1</v>
      </c>
      <c r="K127" t="s">
        <v>1647</v>
      </c>
      <c r="L127">
        <v>3299</v>
      </c>
      <c r="M127">
        <v>1979.4</v>
      </c>
      <c r="N127" t="s">
        <v>598</v>
      </c>
      <c r="O127">
        <v>40</v>
      </c>
      <c r="P127">
        <v>1319.6</v>
      </c>
      <c r="Q127" t="s">
        <v>60</v>
      </c>
      <c r="R127" t="s">
        <v>71</v>
      </c>
      <c r="S127" t="s">
        <v>116</v>
      </c>
      <c r="T127" t="s">
        <v>117</v>
      </c>
      <c r="U127" t="s">
        <v>47</v>
      </c>
      <c r="V127" s="4">
        <v>45608</v>
      </c>
      <c r="W127" t="s">
        <v>1648</v>
      </c>
      <c r="X127" t="s">
        <v>1650</v>
      </c>
      <c r="Y127" t="s">
        <v>35</v>
      </c>
      <c r="Z127" t="s">
        <v>49</v>
      </c>
      <c r="AA127" t="s">
        <v>119</v>
      </c>
      <c r="AB127" s="4">
        <v>45631</v>
      </c>
      <c r="AC127" t="s">
        <v>1652</v>
      </c>
      <c r="AD127" t="s">
        <v>1653</v>
      </c>
      <c r="AE127" t="s">
        <v>121</v>
      </c>
    </row>
    <row r="128" spans="1:31" x14ac:dyDescent="0.3">
      <c r="A128" t="s">
        <v>658</v>
      </c>
      <c r="B128" s="4">
        <v>45596</v>
      </c>
      <c r="C128" t="s">
        <v>1646</v>
      </c>
      <c r="D128" t="s">
        <v>659</v>
      </c>
      <c r="E128" t="s">
        <v>26</v>
      </c>
      <c r="F128" t="s">
        <v>660</v>
      </c>
      <c r="G128" t="s">
        <v>42</v>
      </c>
      <c r="H128" t="s">
        <v>661</v>
      </c>
      <c r="I128">
        <v>7499</v>
      </c>
      <c r="J128">
        <v>1</v>
      </c>
      <c r="K128" t="s">
        <v>1647</v>
      </c>
      <c r="L128">
        <v>7499</v>
      </c>
      <c r="M128">
        <v>4499.3999999999996</v>
      </c>
      <c r="N128" t="s">
        <v>598</v>
      </c>
      <c r="O128">
        <v>40</v>
      </c>
      <c r="P128">
        <v>2999.6</v>
      </c>
      <c r="Q128" t="s">
        <v>45</v>
      </c>
      <c r="R128" t="s">
        <v>31</v>
      </c>
      <c r="S128" t="s">
        <v>129</v>
      </c>
      <c r="T128" t="s">
        <v>130</v>
      </c>
      <c r="U128" t="s">
        <v>47</v>
      </c>
      <c r="V128" s="4">
        <v>45607</v>
      </c>
      <c r="W128" t="s">
        <v>1648</v>
      </c>
      <c r="X128" t="s">
        <v>1650</v>
      </c>
      <c r="Y128" t="s">
        <v>35</v>
      </c>
      <c r="Z128" t="s">
        <v>49</v>
      </c>
      <c r="AA128" t="s">
        <v>50</v>
      </c>
      <c r="AB128" s="4">
        <v>45630</v>
      </c>
      <c r="AC128" t="s">
        <v>1652</v>
      </c>
      <c r="AD128" t="s">
        <v>1653</v>
      </c>
      <c r="AE128" t="s">
        <v>52</v>
      </c>
    </row>
    <row r="129" spans="1:31" x14ac:dyDescent="0.3">
      <c r="A129" t="s">
        <v>663</v>
      </c>
      <c r="B129" s="4">
        <v>45596</v>
      </c>
      <c r="C129" t="s">
        <v>1646</v>
      </c>
      <c r="D129" t="s">
        <v>664</v>
      </c>
      <c r="E129" t="s">
        <v>26</v>
      </c>
      <c r="F129" t="s">
        <v>665</v>
      </c>
      <c r="G129" t="s">
        <v>58</v>
      </c>
      <c r="H129" t="s">
        <v>666</v>
      </c>
      <c r="I129">
        <v>3299</v>
      </c>
      <c r="J129">
        <v>1</v>
      </c>
      <c r="K129" t="s">
        <v>1647</v>
      </c>
      <c r="L129">
        <v>3299</v>
      </c>
      <c r="M129">
        <v>1979.4</v>
      </c>
      <c r="N129" t="s">
        <v>598</v>
      </c>
      <c r="O129">
        <v>40</v>
      </c>
      <c r="P129">
        <v>1319.6</v>
      </c>
      <c r="Q129" t="s">
        <v>30</v>
      </c>
      <c r="R129" t="s">
        <v>46</v>
      </c>
      <c r="S129" t="s">
        <v>135</v>
      </c>
      <c r="T129" t="s">
        <v>136</v>
      </c>
      <c r="U129" t="s">
        <v>47</v>
      </c>
      <c r="V129" s="4">
        <v>45608</v>
      </c>
      <c r="W129" t="s">
        <v>1648</v>
      </c>
      <c r="X129" t="s">
        <v>1650</v>
      </c>
      <c r="Y129" t="s">
        <v>35</v>
      </c>
      <c r="Z129" t="s">
        <v>49</v>
      </c>
      <c r="AA129" t="s">
        <v>89</v>
      </c>
      <c r="AB129" s="4">
        <v>45632</v>
      </c>
      <c r="AC129" t="s">
        <v>1652</v>
      </c>
      <c r="AD129" t="s">
        <v>1653</v>
      </c>
      <c r="AE129" t="s">
        <v>52</v>
      </c>
    </row>
    <row r="130" spans="1:31" x14ac:dyDescent="0.3">
      <c r="A130" t="s">
        <v>667</v>
      </c>
      <c r="B130" s="4">
        <v>45596</v>
      </c>
      <c r="C130" t="s">
        <v>1646</v>
      </c>
      <c r="D130" t="s">
        <v>668</v>
      </c>
      <c r="E130" t="s">
        <v>40</v>
      </c>
      <c r="F130" t="s">
        <v>452</v>
      </c>
      <c r="G130" t="s">
        <v>67</v>
      </c>
      <c r="H130" t="s">
        <v>669</v>
      </c>
      <c r="I130">
        <v>5499</v>
      </c>
      <c r="J130">
        <v>1</v>
      </c>
      <c r="K130" t="s">
        <v>1647</v>
      </c>
      <c r="L130">
        <v>5499</v>
      </c>
      <c r="M130">
        <v>3299.4</v>
      </c>
      <c r="N130" t="s">
        <v>598</v>
      </c>
      <c r="O130">
        <v>40</v>
      </c>
      <c r="P130">
        <v>2199.6</v>
      </c>
      <c r="Q130" t="s">
        <v>70</v>
      </c>
      <c r="R130" t="s">
        <v>71</v>
      </c>
      <c r="S130" t="s">
        <v>156</v>
      </c>
      <c r="T130" t="s">
        <v>130</v>
      </c>
      <c r="U130" t="s">
        <v>47</v>
      </c>
      <c r="V130" s="4">
        <v>45609</v>
      </c>
      <c r="W130" t="s">
        <v>1648</v>
      </c>
      <c r="X130" t="s">
        <v>1650</v>
      </c>
      <c r="Y130" t="s">
        <v>35</v>
      </c>
      <c r="Z130" t="s">
        <v>49</v>
      </c>
      <c r="AA130" t="s">
        <v>75</v>
      </c>
      <c r="AB130" s="4">
        <v>45634</v>
      </c>
      <c r="AC130" t="s">
        <v>1652</v>
      </c>
      <c r="AD130" t="s">
        <v>1653</v>
      </c>
      <c r="AE130" t="s">
        <v>52</v>
      </c>
    </row>
    <row r="131" spans="1:31" x14ac:dyDescent="0.3">
      <c r="A131" t="s">
        <v>672</v>
      </c>
      <c r="B131" s="4">
        <v>45596</v>
      </c>
      <c r="C131" t="s">
        <v>1646</v>
      </c>
      <c r="D131" t="s">
        <v>673</v>
      </c>
      <c r="E131" t="s">
        <v>26</v>
      </c>
      <c r="F131" t="s">
        <v>674</v>
      </c>
      <c r="G131" t="s">
        <v>79</v>
      </c>
      <c r="H131" t="s">
        <v>675</v>
      </c>
      <c r="I131">
        <v>1199</v>
      </c>
      <c r="J131">
        <v>1</v>
      </c>
      <c r="K131" t="s">
        <v>1647</v>
      </c>
      <c r="L131">
        <v>1199</v>
      </c>
      <c r="M131">
        <v>719.4</v>
      </c>
      <c r="N131" t="s">
        <v>598</v>
      </c>
      <c r="O131">
        <v>40</v>
      </c>
      <c r="P131">
        <v>479.6</v>
      </c>
      <c r="Q131" t="s">
        <v>60</v>
      </c>
      <c r="R131" t="s">
        <v>31</v>
      </c>
      <c r="S131" t="s">
        <v>164</v>
      </c>
      <c r="T131" t="s">
        <v>165</v>
      </c>
      <c r="U131" t="s">
        <v>47</v>
      </c>
      <c r="V131" s="4"/>
      <c r="W131" t="s">
        <v>1656</v>
      </c>
      <c r="X131" t="s">
        <v>1657</v>
      </c>
      <c r="Y131" t="s">
        <v>137</v>
      </c>
      <c r="Z131" t="s">
        <v>36</v>
      </c>
      <c r="AB131" s="4"/>
      <c r="AC131" t="s">
        <v>1656</v>
      </c>
      <c r="AD131" t="s">
        <v>1651</v>
      </c>
      <c r="AE131" t="s">
        <v>37</v>
      </c>
    </row>
    <row r="132" spans="1:31" x14ac:dyDescent="0.3">
      <c r="A132" t="s">
        <v>676</v>
      </c>
      <c r="B132" s="4">
        <v>45596</v>
      </c>
      <c r="C132" t="s">
        <v>1646</v>
      </c>
      <c r="D132" t="s">
        <v>677</v>
      </c>
      <c r="E132" t="s">
        <v>26</v>
      </c>
      <c r="F132" t="s">
        <v>678</v>
      </c>
      <c r="G132" t="s">
        <v>28</v>
      </c>
      <c r="H132" t="s">
        <v>679</v>
      </c>
      <c r="I132">
        <v>2799</v>
      </c>
      <c r="J132">
        <v>1</v>
      </c>
      <c r="K132" t="s">
        <v>1647</v>
      </c>
      <c r="L132">
        <v>2799</v>
      </c>
      <c r="M132">
        <v>1679.4</v>
      </c>
      <c r="N132" t="s">
        <v>598</v>
      </c>
      <c r="O132">
        <v>40</v>
      </c>
      <c r="P132">
        <v>1119.5999999999999</v>
      </c>
      <c r="Q132" t="s">
        <v>128</v>
      </c>
      <c r="R132" t="s">
        <v>46</v>
      </c>
      <c r="S132" t="s">
        <v>171</v>
      </c>
      <c r="T132" t="s">
        <v>172</v>
      </c>
      <c r="U132" t="s">
        <v>32</v>
      </c>
      <c r="V132" s="4">
        <v>45608</v>
      </c>
      <c r="W132" t="s">
        <v>1648</v>
      </c>
      <c r="X132" t="s">
        <v>1650</v>
      </c>
      <c r="Y132" t="s">
        <v>35</v>
      </c>
      <c r="Z132" t="s">
        <v>49</v>
      </c>
      <c r="AA132" t="s">
        <v>50</v>
      </c>
      <c r="AB132" s="4">
        <v>45633</v>
      </c>
      <c r="AC132" t="s">
        <v>1652</v>
      </c>
      <c r="AD132" t="s">
        <v>1653</v>
      </c>
      <c r="AE132" t="s">
        <v>52</v>
      </c>
    </row>
    <row r="133" spans="1:31" x14ac:dyDescent="0.3">
      <c r="A133" t="s">
        <v>680</v>
      </c>
      <c r="B133" s="4">
        <v>45597</v>
      </c>
      <c r="C133" t="s">
        <v>1646</v>
      </c>
      <c r="D133" t="s">
        <v>681</v>
      </c>
      <c r="E133" t="s">
        <v>26</v>
      </c>
      <c r="F133" t="s">
        <v>682</v>
      </c>
      <c r="G133" t="s">
        <v>42</v>
      </c>
      <c r="H133" t="s">
        <v>683</v>
      </c>
      <c r="I133">
        <v>3899</v>
      </c>
      <c r="J133">
        <v>1</v>
      </c>
      <c r="K133" t="s">
        <v>1647</v>
      </c>
      <c r="L133">
        <v>3899</v>
      </c>
      <c r="M133">
        <v>2339.4</v>
      </c>
      <c r="N133" t="s">
        <v>598</v>
      </c>
      <c r="O133">
        <v>40</v>
      </c>
      <c r="P133">
        <v>1559.6</v>
      </c>
      <c r="Q133" t="s">
        <v>45</v>
      </c>
      <c r="R133" t="s">
        <v>71</v>
      </c>
      <c r="S133" t="s">
        <v>177</v>
      </c>
      <c r="T133" t="s">
        <v>109</v>
      </c>
      <c r="U133" t="s">
        <v>32</v>
      </c>
      <c r="V133" s="4">
        <v>45606</v>
      </c>
      <c r="W133" t="s">
        <v>1648</v>
      </c>
      <c r="X133" t="s">
        <v>1650</v>
      </c>
      <c r="Y133" t="s">
        <v>35</v>
      </c>
      <c r="Z133" t="s">
        <v>49</v>
      </c>
      <c r="AA133" t="s">
        <v>119</v>
      </c>
      <c r="AB133" s="4">
        <v>45631</v>
      </c>
      <c r="AC133" t="s">
        <v>1652</v>
      </c>
      <c r="AD133" t="s">
        <v>1653</v>
      </c>
      <c r="AE133" t="s">
        <v>52</v>
      </c>
    </row>
    <row r="134" spans="1:31" x14ac:dyDescent="0.3">
      <c r="A134" t="s">
        <v>684</v>
      </c>
      <c r="B134" s="4">
        <v>45597</v>
      </c>
      <c r="C134" t="s">
        <v>1646</v>
      </c>
      <c r="D134" t="s">
        <v>685</v>
      </c>
      <c r="E134" t="s">
        <v>26</v>
      </c>
      <c r="F134" t="s">
        <v>686</v>
      </c>
      <c r="G134" t="s">
        <v>58</v>
      </c>
      <c r="H134" t="s">
        <v>687</v>
      </c>
      <c r="I134">
        <v>2999</v>
      </c>
      <c r="J134">
        <v>1</v>
      </c>
      <c r="K134" t="s">
        <v>1647</v>
      </c>
      <c r="L134">
        <v>2999</v>
      </c>
      <c r="M134">
        <v>1799.4</v>
      </c>
      <c r="N134" t="s">
        <v>598</v>
      </c>
      <c r="O134">
        <v>40</v>
      </c>
      <c r="P134">
        <v>1199.5999999999999</v>
      </c>
      <c r="Q134" t="s">
        <v>30</v>
      </c>
      <c r="R134" t="s">
        <v>31</v>
      </c>
      <c r="S134" t="s">
        <v>184</v>
      </c>
      <c r="T134" t="s">
        <v>185</v>
      </c>
      <c r="U134" t="s">
        <v>47</v>
      </c>
      <c r="V134" s="4">
        <v>45607</v>
      </c>
      <c r="W134" t="s">
        <v>1648</v>
      </c>
      <c r="X134" t="s">
        <v>1650</v>
      </c>
      <c r="Y134" t="s">
        <v>35</v>
      </c>
      <c r="Z134" t="s">
        <v>36</v>
      </c>
      <c r="AB134" s="4"/>
      <c r="AC134" t="s">
        <v>1649</v>
      </c>
      <c r="AD134" t="s">
        <v>1651</v>
      </c>
      <c r="AE134" t="s">
        <v>37</v>
      </c>
    </row>
    <row r="135" spans="1:31" x14ac:dyDescent="0.3">
      <c r="A135" t="s">
        <v>688</v>
      </c>
      <c r="B135" s="4">
        <v>45597</v>
      </c>
      <c r="C135" t="s">
        <v>1646</v>
      </c>
      <c r="D135" t="s">
        <v>689</v>
      </c>
      <c r="E135" t="s">
        <v>40</v>
      </c>
      <c r="F135" t="s">
        <v>690</v>
      </c>
      <c r="G135" t="s">
        <v>67</v>
      </c>
      <c r="H135" t="s">
        <v>691</v>
      </c>
      <c r="I135">
        <v>6499</v>
      </c>
      <c r="J135">
        <v>1</v>
      </c>
      <c r="K135" t="s">
        <v>1647</v>
      </c>
      <c r="L135">
        <v>6499</v>
      </c>
      <c r="M135">
        <v>3899.4</v>
      </c>
      <c r="N135" t="s">
        <v>598</v>
      </c>
      <c r="O135">
        <v>40</v>
      </c>
      <c r="P135">
        <v>2599.6</v>
      </c>
      <c r="Q135" t="s">
        <v>45</v>
      </c>
      <c r="R135" t="s">
        <v>46</v>
      </c>
      <c r="S135" t="s">
        <v>190</v>
      </c>
      <c r="T135" t="s">
        <v>172</v>
      </c>
      <c r="U135" t="s">
        <v>32</v>
      </c>
      <c r="V135" s="4">
        <v>45609</v>
      </c>
      <c r="W135" t="s">
        <v>1648</v>
      </c>
      <c r="X135" t="s">
        <v>1650</v>
      </c>
      <c r="Y135" t="s">
        <v>35</v>
      </c>
      <c r="Z135" t="s">
        <v>49</v>
      </c>
      <c r="AA135" t="s">
        <v>50</v>
      </c>
      <c r="AB135" s="4">
        <v>45636</v>
      </c>
      <c r="AC135" t="s">
        <v>1652</v>
      </c>
      <c r="AD135" t="s">
        <v>1653</v>
      </c>
      <c r="AE135" t="s">
        <v>52</v>
      </c>
    </row>
    <row r="136" spans="1:31" x14ac:dyDescent="0.3">
      <c r="A136" t="s">
        <v>693</v>
      </c>
      <c r="B136" s="4">
        <v>45597</v>
      </c>
      <c r="C136" t="s">
        <v>1646</v>
      </c>
      <c r="D136" t="s">
        <v>694</v>
      </c>
      <c r="E136" t="s">
        <v>26</v>
      </c>
      <c r="F136" t="s">
        <v>695</v>
      </c>
      <c r="G136" t="s">
        <v>79</v>
      </c>
      <c r="H136" t="s">
        <v>696</v>
      </c>
      <c r="I136">
        <v>999</v>
      </c>
      <c r="J136">
        <v>2</v>
      </c>
      <c r="K136" t="s">
        <v>1647</v>
      </c>
      <c r="L136">
        <v>1998</v>
      </c>
      <c r="M136">
        <v>1198.8</v>
      </c>
      <c r="N136" t="s">
        <v>598</v>
      </c>
      <c r="O136">
        <v>40</v>
      </c>
      <c r="P136">
        <v>799.2</v>
      </c>
      <c r="Q136" t="s">
        <v>70</v>
      </c>
      <c r="R136" t="s">
        <v>71</v>
      </c>
      <c r="S136" t="s">
        <v>195</v>
      </c>
      <c r="T136" t="s">
        <v>33</v>
      </c>
      <c r="U136" t="s">
        <v>32</v>
      </c>
      <c r="V136" s="4">
        <v>45607</v>
      </c>
      <c r="W136" t="s">
        <v>1648</v>
      </c>
      <c r="X136" t="s">
        <v>1650</v>
      </c>
      <c r="Y136" t="s">
        <v>35</v>
      </c>
      <c r="Z136" t="s">
        <v>36</v>
      </c>
      <c r="AB136" s="4"/>
      <c r="AC136" t="s">
        <v>1649</v>
      </c>
      <c r="AD136" t="s">
        <v>1651</v>
      </c>
      <c r="AE136" t="s">
        <v>37</v>
      </c>
    </row>
    <row r="137" spans="1:31" x14ac:dyDescent="0.3">
      <c r="A137" t="s">
        <v>697</v>
      </c>
      <c r="B137" s="4">
        <v>45598</v>
      </c>
      <c r="C137" t="s">
        <v>1646</v>
      </c>
      <c r="D137" t="s">
        <v>698</v>
      </c>
      <c r="E137" t="s">
        <v>26</v>
      </c>
      <c r="F137" t="s">
        <v>699</v>
      </c>
      <c r="G137" t="s">
        <v>28</v>
      </c>
      <c r="H137" t="s">
        <v>700</v>
      </c>
      <c r="I137">
        <v>2499</v>
      </c>
      <c r="J137">
        <v>1</v>
      </c>
      <c r="K137" t="s">
        <v>1647</v>
      </c>
      <c r="L137">
        <v>2499</v>
      </c>
      <c r="M137">
        <v>1499.4</v>
      </c>
      <c r="N137" t="s">
        <v>598</v>
      </c>
      <c r="O137">
        <v>40</v>
      </c>
      <c r="P137">
        <v>999.6</v>
      </c>
      <c r="Q137" t="s">
        <v>60</v>
      </c>
      <c r="R137" t="s">
        <v>31</v>
      </c>
      <c r="S137" t="s">
        <v>202</v>
      </c>
      <c r="T137" t="s">
        <v>73</v>
      </c>
      <c r="U137" t="s">
        <v>61</v>
      </c>
      <c r="V137" s="4">
        <v>45608</v>
      </c>
      <c r="W137" t="s">
        <v>1648</v>
      </c>
      <c r="X137" t="s">
        <v>1650</v>
      </c>
      <c r="Y137" t="s">
        <v>35</v>
      </c>
      <c r="Z137" t="s">
        <v>49</v>
      </c>
      <c r="AA137" t="s">
        <v>75</v>
      </c>
      <c r="AB137" s="4">
        <v>45634</v>
      </c>
      <c r="AC137" t="s">
        <v>1652</v>
      </c>
      <c r="AD137" t="s">
        <v>1653</v>
      </c>
      <c r="AE137" t="s">
        <v>52</v>
      </c>
    </row>
    <row r="138" spans="1:31" x14ac:dyDescent="0.3">
      <c r="A138" t="s">
        <v>701</v>
      </c>
      <c r="B138" s="4">
        <v>45598</v>
      </c>
      <c r="C138" t="s">
        <v>1646</v>
      </c>
      <c r="D138" t="s">
        <v>702</v>
      </c>
      <c r="E138" t="s">
        <v>26</v>
      </c>
      <c r="F138" t="s">
        <v>703</v>
      </c>
      <c r="G138" t="s">
        <v>42</v>
      </c>
      <c r="H138" t="s">
        <v>704</v>
      </c>
      <c r="I138">
        <v>4599</v>
      </c>
      <c r="J138">
        <v>1</v>
      </c>
      <c r="K138" t="s">
        <v>1647</v>
      </c>
      <c r="L138">
        <v>4599</v>
      </c>
      <c r="M138">
        <v>2759.4</v>
      </c>
      <c r="N138" t="s">
        <v>598</v>
      </c>
      <c r="O138">
        <v>40</v>
      </c>
      <c r="P138">
        <v>1839.6</v>
      </c>
      <c r="Q138" t="s">
        <v>30</v>
      </c>
      <c r="R138" t="s">
        <v>46</v>
      </c>
      <c r="S138" t="s">
        <v>208</v>
      </c>
      <c r="T138" t="s">
        <v>209</v>
      </c>
      <c r="U138" t="s">
        <v>61</v>
      </c>
      <c r="V138" s="4">
        <v>45610</v>
      </c>
      <c r="W138" t="s">
        <v>1648</v>
      </c>
      <c r="X138" t="s">
        <v>1650</v>
      </c>
      <c r="Y138" t="s">
        <v>35</v>
      </c>
      <c r="Z138" t="s">
        <v>49</v>
      </c>
      <c r="AA138" t="s">
        <v>50</v>
      </c>
      <c r="AB138" s="4">
        <v>45638</v>
      </c>
      <c r="AC138" t="s">
        <v>1652</v>
      </c>
      <c r="AD138" t="s">
        <v>1653</v>
      </c>
      <c r="AE138" t="s">
        <v>52</v>
      </c>
    </row>
    <row r="139" spans="1:31" x14ac:dyDescent="0.3">
      <c r="A139" t="s">
        <v>706</v>
      </c>
      <c r="B139" s="4">
        <v>45598</v>
      </c>
      <c r="C139" t="s">
        <v>1646</v>
      </c>
      <c r="D139" t="s">
        <v>707</v>
      </c>
      <c r="E139" t="s">
        <v>26</v>
      </c>
      <c r="F139" t="s">
        <v>708</v>
      </c>
      <c r="G139" t="s">
        <v>58</v>
      </c>
      <c r="H139" t="s">
        <v>709</v>
      </c>
      <c r="I139">
        <v>1799</v>
      </c>
      <c r="J139">
        <v>1</v>
      </c>
      <c r="K139" t="s">
        <v>1647</v>
      </c>
      <c r="L139">
        <v>1799</v>
      </c>
      <c r="M139">
        <v>1079.4000000000001</v>
      </c>
      <c r="N139" t="s">
        <v>598</v>
      </c>
      <c r="O139">
        <v>40</v>
      </c>
      <c r="P139">
        <v>719.6</v>
      </c>
      <c r="Q139" t="s">
        <v>45</v>
      </c>
      <c r="R139" t="s">
        <v>71</v>
      </c>
      <c r="S139" t="s">
        <v>215</v>
      </c>
      <c r="T139" t="s">
        <v>216</v>
      </c>
      <c r="U139" t="s">
        <v>61</v>
      </c>
      <c r="V139" s="4">
        <v>45609</v>
      </c>
      <c r="W139" t="s">
        <v>1648</v>
      </c>
      <c r="X139" t="s">
        <v>1650</v>
      </c>
      <c r="Y139" t="s">
        <v>35</v>
      </c>
      <c r="Z139" t="s">
        <v>36</v>
      </c>
      <c r="AB139" s="4"/>
      <c r="AC139" t="s">
        <v>1649</v>
      </c>
      <c r="AD139" t="s">
        <v>1651</v>
      </c>
      <c r="AE139" t="s">
        <v>37</v>
      </c>
    </row>
    <row r="140" spans="1:31" x14ac:dyDescent="0.3">
      <c r="A140" t="s">
        <v>710</v>
      </c>
      <c r="B140" s="4">
        <v>45598</v>
      </c>
      <c r="C140" t="s">
        <v>1646</v>
      </c>
      <c r="D140" t="s">
        <v>711</v>
      </c>
      <c r="E140" t="s">
        <v>40</v>
      </c>
      <c r="F140" t="s">
        <v>712</v>
      </c>
      <c r="G140" t="s">
        <v>67</v>
      </c>
      <c r="H140" t="s">
        <v>713</v>
      </c>
      <c r="I140">
        <v>7999</v>
      </c>
      <c r="J140">
        <v>1</v>
      </c>
      <c r="K140" t="s">
        <v>1647</v>
      </c>
      <c r="L140">
        <v>7999</v>
      </c>
      <c r="M140">
        <v>4799.3999999999996</v>
      </c>
      <c r="N140" t="s">
        <v>598</v>
      </c>
      <c r="O140">
        <v>40</v>
      </c>
      <c r="P140">
        <v>3199.6</v>
      </c>
      <c r="Q140" t="s">
        <v>128</v>
      </c>
      <c r="R140" t="s">
        <v>31</v>
      </c>
      <c r="S140" t="s">
        <v>221</v>
      </c>
      <c r="T140" t="s">
        <v>209</v>
      </c>
      <c r="U140" t="s">
        <v>61</v>
      </c>
      <c r="V140" s="4">
        <v>45611</v>
      </c>
      <c r="W140" t="s">
        <v>1648</v>
      </c>
      <c r="X140" t="s">
        <v>1650</v>
      </c>
      <c r="Y140" t="s">
        <v>35</v>
      </c>
      <c r="Z140" t="s">
        <v>49</v>
      </c>
      <c r="AA140" t="s">
        <v>89</v>
      </c>
      <c r="AB140" s="4">
        <v>45640</v>
      </c>
      <c r="AC140" t="s">
        <v>1652</v>
      </c>
      <c r="AD140" t="s">
        <v>1653</v>
      </c>
      <c r="AE140" t="s">
        <v>52</v>
      </c>
    </row>
    <row r="141" spans="1:31" x14ac:dyDescent="0.3">
      <c r="A141" t="s">
        <v>715</v>
      </c>
      <c r="B141" s="4">
        <v>45599</v>
      </c>
      <c r="C141" t="s">
        <v>1646</v>
      </c>
      <c r="D141" t="s">
        <v>716</v>
      </c>
      <c r="E141" t="s">
        <v>26</v>
      </c>
      <c r="F141" t="s">
        <v>717</v>
      </c>
      <c r="G141" t="s">
        <v>79</v>
      </c>
      <c r="H141" t="s">
        <v>718</v>
      </c>
      <c r="I141">
        <v>2499</v>
      </c>
      <c r="J141">
        <v>1</v>
      </c>
      <c r="K141" t="s">
        <v>1647</v>
      </c>
      <c r="L141">
        <v>2499</v>
      </c>
      <c r="M141">
        <v>1499.4</v>
      </c>
      <c r="N141" t="s">
        <v>598</v>
      </c>
      <c r="O141">
        <v>40</v>
      </c>
      <c r="P141">
        <v>999.6</v>
      </c>
      <c r="Q141" t="s">
        <v>70</v>
      </c>
      <c r="R141" t="s">
        <v>46</v>
      </c>
      <c r="S141" t="s">
        <v>226</v>
      </c>
      <c r="T141" t="s">
        <v>62</v>
      </c>
      <c r="U141" t="s">
        <v>61</v>
      </c>
      <c r="V141" s="4">
        <v>45610</v>
      </c>
      <c r="W141" t="s">
        <v>1648</v>
      </c>
      <c r="X141" t="s">
        <v>1650</v>
      </c>
      <c r="Y141" t="s">
        <v>35</v>
      </c>
      <c r="Z141" t="s">
        <v>49</v>
      </c>
      <c r="AA141" t="s">
        <v>158</v>
      </c>
      <c r="AB141" s="4">
        <v>45638</v>
      </c>
      <c r="AC141" t="s">
        <v>1652</v>
      </c>
      <c r="AD141" t="s">
        <v>1653</v>
      </c>
      <c r="AE141" t="s">
        <v>52</v>
      </c>
    </row>
    <row r="142" spans="1:31" x14ac:dyDescent="0.3">
      <c r="A142" t="s">
        <v>719</v>
      </c>
      <c r="B142" s="4">
        <v>45599</v>
      </c>
      <c r="C142" t="s">
        <v>1646</v>
      </c>
      <c r="D142" t="s">
        <v>720</v>
      </c>
      <c r="E142" t="s">
        <v>26</v>
      </c>
      <c r="F142" t="s">
        <v>721</v>
      </c>
      <c r="G142" t="s">
        <v>28</v>
      </c>
      <c r="H142" t="s">
        <v>722</v>
      </c>
      <c r="I142">
        <v>2299</v>
      </c>
      <c r="J142">
        <v>1</v>
      </c>
      <c r="K142" t="s">
        <v>1647</v>
      </c>
      <c r="L142">
        <v>2299</v>
      </c>
      <c r="M142">
        <v>1379.4</v>
      </c>
      <c r="N142" t="s">
        <v>598</v>
      </c>
      <c r="O142">
        <v>40</v>
      </c>
      <c r="P142">
        <v>919.6</v>
      </c>
      <c r="Q142" t="s">
        <v>30</v>
      </c>
      <c r="R142" t="s">
        <v>71</v>
      </c>
      <c r="S142" t="s">
        <v>233</v>
      </c>
      <c r="T142" t="s">
        <v>109</v>
      </c>
      <c r="U142" t="s">
        <v>32</v>
      </c>
      <c r="V142" s="4">
        <v>45611</v>
      </c>
      <c r="W142" t="s">
        <v>1648</v>
      </c>
      <c r="X142" t="s">
        <v>1650</v>
      </c>
      <c r="Y142" t="s">
        <v>35</v>
      </c>
      <c r="Z142" t="s">
        <v>49</v>
      </c>
      <c r="AA142" t="s">
        <v>50</v>
      </c>
      <c r="AB142" s="4">
        <v>45639</v>
      </c>
      <c r="AC142" t="s">
        <v>1652</v>
      </c>
      <c r="AD142" t="s">
        <v>1653</v>
      </c>
      <c r="AE142" t="s">
        <v>52</v>
      </c>
    </row>
    <row r="143" spans="1:31" x14ac:dyDescent="0.3">
      <c r="A143" t="s">
        <v>724</v>
      </c>
      <c r="B143" s="4">
        <v>45599</v>
      </c>
      <c r="C143" t="s">
        <v>1646</v>
      </c>
      <c r="D143" t="s">
        <v>725</v>
      </c>
      <c r="E143" t="s">
        <v>26</v>
      </c>
      <c r="F143" t="s">
        <v>531</v>
      </c>
      <c r="G143" t="s">
        <v>42</v>
      </c>
      <c r="H143" t="s">
        <v>726</v>
      </c>
      <c r="I143">
        <v>5999</v>
      </c>
      <c r="J143">
        <v>1</v>
      </c>
      <c r="K143" t="s">
        <v>1647</v>
      </c>
      <c r="L143">
        <v>5999</v>
      </c>
      <c r="M143">
        <v>3599.4</v>
      </c>
      <c r="N143" t="s">
        <v>598</v>
      </c>
      <c r="O143">
        <v>40</v>
      </c>
      <c r="P143">
        <v>2399.6</v>
      </c>
      <c r="Q143" t="s">
        <v>45</v>
      </c>
      <c r="R143" t="s">
        <v>31</v>
      </c>
      <c r="S143" t="s">
        <v>238</v>
      </c>
      <c r="T143" t="s">
        <v>109</v>
      </c>
      <c r="U143" t="s">
        <v>32</v>
      </c>
      <c r="V143" s="4">
        <v>45612</v>
      </c>
      <c r="W143" t="s">
        <v>1648</v>
      </c>
      <c r="X143" t="s">
        <v>1650</v>
      </c>
      <c r="Y143" t="s">
        <v>35</v>
      </c>
      <c r="Z143" t="s">
        <v>49</v>
      </c>
      <c r="AA143" t="s">
        <v>119</v>
      </c>
      <c r="AB143" s="4">
        <v>45641</v>
      </c>
      <c r="AC143" t="s">
        <v>1652</v>
      </c>
      <c r="AD143" t="s">
        <v>1653</v>
      </c>
      <c r="AE143" t="s">
        <v>52</v>
      </c>
    </row>
    <row r="144" spans="1:31" x14ac:dyDescent="0.3">
      <c r="A144" t="s">
        <v>728</v>
      </c>
      <c r="B144" s="4">
        <v>45599</v>
      </c>
      <c r="C144" t="s">
        <v>1646</v>
      </c>
      <c r="D144" t="s">
        <v>729</v>
      </c>
      <c r="E144" t="s">
        <v>40</v>
      </c>
      <c r="F144" t="s">
        <v>730</v>
      </c>
      <c r="G144" t="s">
        <v>58</v>
      </c>
      <c r="H144" t="s">
        <v>731</v>
      </c>
      <c r="I144">
        <v>2599</v>
      </c>
      <c r="J144">
        <v>1</v>
      </c>
      <c r="K144" t="s">
        <v>1647</v>
      </c>
      <c r="L144">
        <v>2599</v>
      </c>
      <c r="M144">
        <v>1559.4</v>
      </c>
      <c r="N144" t="s">
        <v>598</v>
      </c>
      <c r="O144">
        <v>40</v>
      </c>
      <c r="P144">
        <v>1039.5999999999999</v>
      </c>
      <c r="Q144" t="s">
        <v>60</v>
      </c>
      <c r="R144" t="s">
        <v>46</v>
      </c>
      <c r="S144" t="s">
        <v>243</v>
      </c>
      <c r="T144" t="s">
        <v>130</v>
      </c>
      <c r="U144" t="s">
        <v>47</v>
      </c>
      <c r="V144" s="4">
        <v>45611</v>
      </c>
      <c r="W144" t="s">
        <v>1648</v>
      </c>
      <c r="X144" t="s">
        <v>1650</v>
      </c>
      <c r="Y144" t="s">
        <v>35</v>
      </c>
      <c r="Z144" t="s">
        <v>36</v>
      </c>
      <c r="AB144" s="4"/>
      <c r="AC144" t="s">
        <v>1649</v>
      </c>
      <c r="AD144" t="s">
        <v>1651</v>
      </c>
      <c r="AE144" t="s">
        <v>37</v>
      </c>
    </row>
    <row r="145" spans="1:31" x14ac:dyDescent="0.3">
      <c r="A145" t="s">
        <v>732</v>
      </c>
      <c r="B145" s="4">
        <v>45600</v>
      </c>
      <c r="C145" t="s">
        <v>1646</v>
      </c>
      <c r="D145" t="s">
        <v>733</v>
      </c>
      <c r="E145" t="s">
        <v>26</v>
      </c>
      <c r="F145" t="s">
        <v>734</v>
      </c>
      <c r="G145" t="s">
        <v>67</v>
      </c>
      <c r="H145" t="s">
        <v>735</v>
      </c>
      <c r="I145">
        <v>4299</v>
      </c>
      <c r="J145">
        <v>1</v>
      </c>
      <c r="K145" t="s">
        <v>1647</v>
      </c>
      <c r="L145">
        <v>4299</v>
      </c>
      <c r="M145">
        <v>2579.4</v>
      </c>
      <c r="N145" t="s">
        <v>598</v>
      </c>
      <c r="O145">
        <v>40</v>
      </c>
      <c r="P145">
        <v>1719.6</v>
      </c>
      <c r="Q145" t="s">
        <v>45</v>
      </c>
      <c r="R145" t="s">
        <v>71</v>
      </c>
      <c r="S145" t="s">
        <v>32</v>
      </c>
      <c r="T145" t="s">
        <v>33</v>
      </c>
      <c r="U145" t="s">
        <v>32</v>
      </c>
      <c r="V145" s="4">
        <v>45613</v>
      </c>
      <c r="W145" t="s">
        <v>1648</v>
      </c>
      <c r="X145" t="s">
        <v>1650</v>
      </c>
      <c r="Y145" t="s">
        <v>35</v>
      </c>
      <c r="Z145" t="s">
        <v>49</v>
      </c>
      <c r="AA145" t="s">
        <v>75</v>
      </c>
      <c r="AB145" s="4">
        <v>45642</v>
      </c>
      <c r="AC145" t="s">
        <v>1652</v>
      </c>
      <c r="AD145" t="s">
        <v>1653</v>
      </c>
      <c r="AE145" t="s">
        <v>52</v>
      </c>
    </row>
    <row r="146" spans="1:31" x14ac:dyDescent="0.3">
      <c r="A146" t="s">
        <v>738</v>
      </c>
      <c r="B146" s="4">
        <v>45600</v>
      </c>
      <c r="C146" t="s">
        <v>1646</v>
      </c>
      <c r="D146" t="s">
        <v>739</v>
      </c>
      <c r="E146" t="s">
        <v>26</v>
      </c>
      <c r="F146" t="s">
        <v>740</v>
      </c>
      <c r="G146" t="s">
        <v>79</v>
      </c>
      <c r="H146" t="s">
        <v>741</v>
      </c>
      <c r="I146">
        <v>799</v>
      </c>
      <c r="J146">
        <v>1</v>
      </c>
      <c r="K146" t="s">
        <v>1647</v>
      </c>
      <c r="L146">
        <v>799</v>
      </c>
      <c r="M146">
        <v>479.4</v>
      </c>
      <c r="N146" t="s">
        <v>598</v>
      </c>
      <c r="O146">
        <v>40</v>
      </c>
      <c r="P146">
        <v>319.60000000000002</v>
      </c>
      <c r="Q146" t="s">
        <v>30</v>
      </c>
      <c r="R146" t="s">
        <v>31</v>
      </c>
      <c r="S146" t="s">
        <v>47</v>
      </c>
      <c r="T146" t="s">
        <v>47</v>
      </c>
      <c r="U146" t="s">
        <v>47</v>
      </c>
      <c r="V146" s="4">
        <v>45612</v>
      </c>
      <c r="W146" t="s">
        <v>1648</v>
      </c>
      <c r="X146" t="s">
        <v>1650</v>
      </c>
      <c r="Y146" t="s">
        <v>35</v>
      </c>
      <c r="Z146" t="s">
        <v>36</v>
      </c>
      <c r="AB146" s="4"/>
      <c r="AC146" t="s">
        <v>1649</v>
      </c>
      <c r="AD146" t="s">
        <v>1651</v>
      </c>
      <c r="AE146" t="s">
        <v>37</v>
      </c>
    </row>
    <row r="147" spans="1:31" x14ac:dyDescent="0.3">
      <c r="A147" t="s">
        <v>742</v>
      </c>
      <c r="B147" s="4">
        <v>45600</v>
      </c>
      <c r="C147" t="s">
        <v>1646</v>
      </c>
      <c r="D147" t="s">
        <v>743</v>
      </c>
      <c r="E147" t="s">
        <v>26</v>
      </c>
      <c r="F147" t="s">
        <v>744</v>
      </c>
      <c r="G147" t="s">
        <v>28</v>
      </c>
      <c r="H147" t="s">
        <v>745</v>
      </c>
      <c r="I147">
        <v>1899</v>
      </c>
      <c r="J147">
        <v>1</v>
      </c>
      <c r="K147" t="s">
        <v>1647</v>
      </c>
      <c r="L147">
        <v>1899</v>
      </c>
      <c r="M147">
        <v>1139.4000000000001</v>
      </c>
      <c r="N147" t="s">
        <v>598</v>
      </c>
      <c r="O147">
        <v>40</v>
      </c>
      <c r="P147">
        <v>759.6</v>
      </c>
      <c r="Q147" t="s">
        <v>128</v>
      </c>
      <c r="R147" t="s">
        <v>46</v>
      </c>
      <c r="S147" t="s">
        <v>101</v>
      </c>
      <c r="T147" t="s">
        <v>102</v>
      </c>
      <c r="U147" t="s">
        <v>47</v>
      </c>
      <c r="V147" s="4">
        <v>45613</v>
      </c>
      <c r="W147" t="s">
        <v>1648</v>
      </c>
      <c r="X147" t="s">
        <v>1650</v>
      </c>
      <c r="Y147" t="s">
        <v>35</v>
      </c>
      <c r="Z147" t="s">
        <v>49</v>
      </c>
      <c r="AA147" t="s">
        <v>50</v>
      </c>
      <c r="AB147" s="4">
        <v>45641</v>
      </c>
      <c r="AC147" t="s">
        <v>1652</v>
      </c>
      <c r="AD147" t="s">
        <v>1653</v>
      </c>
      <c r="AE147" t="s">
        <v>52</v>
      </c>
    </row>
    <row r="148" spans="1:31" x14ac:dyDescent="0.3">
      <c r="A148" t="s">
        <v>746</v>
      </c>
      <c r="B148" s="4">
        <v>45601</v>
      </c>
      <c r="C148" t="s">
        <v>1646</v>
      </c>
      <c r="D148" t="s">
        <v>747</v>
      </c>
      <c r="E148" t="s">
        <v>26</v>
      </c>
      <c r="F148" t="s">
        <v>748</v>
      </c>
      <c r="G148" t="s">
        <v>42</v>
      </c>
      <c r="H148" t="s">
        <v>749</v>
      </c>
      <c r="I148">
        <v>4899</v>
      </c>
      <c r="J148">
        <v>1</v>
      </c>
      <c r="K148" t="s">
        <v>1647</v>
      </c>
      <c r="L148">
        <v>4899</v>
      </c>
      <c r="M148">
        <v>2939.4</v>
      </c>
      <c r="N148" t="s">
        <v>598</v>
      </c>
      <c r="O148">
        <v>40</v>
      </c>
      <c r="P148">
        <v>1959.6</v>
      </c>
      <c r="Q148" t="s">
        <v>70</v>
      </c>
      <c r="R148" t="s">
        <v>71</v>
      </c>
      <c r="S148" t="s">
        <v>72</v>
      </c>
      <c r="T148" t="s">
        <v>73</v>
      </c>
      <c r="U148" t="s">
        <v>61</v>
      </c>
      <c r="V148" s="4">
        <v>45614</v>
      </c>
      <c r="W148" t="s">
        <v>1648</v>
      </c>
      <c r="X148" t="s">
        <v>1650</v>
      </c>
      <c r="Y148" t="s">
        <v>35</v>
      </c>
      <c r="Z148" t="s">
        <v>49</v>
      </c>
      <c r="AA148" t="s">
        <v>89</v>
      </c>
      <c r="AB148" s="4">
        <v>45643</v>
      </c>
      <c r="AC148" t="s">
        <v>1652</v>
      </c>
      <c r="AD148" t="s">
        <v>1653</v>
      </c>
      <c r="AE148" t="s">
        <v>52</v>
      </c>
    </row>
    <row r="149" spans="1:31" x14ac:dyDescent="0.3">
      <c r="A149" t="s">
        <v>751</v>
      </c>
      <c r="B149" s="4">
        <v>45601</v>
      </c>
      <c r="C149" t="s">
        <v>1646</v>
      </c>
      <c r="D149" t="s">
        <v>752</v>
      </c>
      <c r="E149" t="s">
        <v>40</v>
      </c>
      <c r="F149" t="s">
        <v>753</v>
      </c>
      <c r="G149" t="s">
        <v>58</v>
      </c>
      <c r="H149" t="s">
        <v>754</v>
      </c>
      <c r="I149">
        <v>1499</v>
      </c>
      <c r="J149">
        <v>1</v>
      </c>
      <c r="K149" t="s">
        <v>1647</v>
      </c>
      <c r="L149">
        <v>1499</v>
      </c>
      <c r="M149">
        <v>899.4</v>
      </c>
      <c r="N149" t="s">
        <v>598</v>
      </c>
      <c r="O149">
        <v>40</v>
      </c>
      <c r="P149">
        <v>599.6</v>
      </c>
      <c r="Q149" t="s">
        <v>45</v>
      </c>
      <c r="R149" t="s">
        <v>31</v>
      </c>
      <c r="S149" t="s">
        <v>86</v>
      </c>
      <c r="T149" t="s">
        <v>87</v>
      </c>
      <c r="U149" t="s">
        <v>61</v>
      </c>
      <c r="V149" s="4">
        <v>45613</v>
      </c>
      <c r="W149" t="s">
        <v>1648</v>
      </c>
      <c r="X149" t="s">
        <v>1650</v>
      </c>
      <c r="Y149" t="s">
        <v>35</v>
      </c>
      <c r="Z149" t="s">
        <v>36</v>
      </c>
      <c r="AB149" s="4"/>
      <c r="AC149" t="s">
        <v>1649</v>
      </c>
      <c r="AD149" t="s">
        <v>1651</v>
      </c>
      <c r="AE149" t="s">
        <v>37</v>
      </c>
    </row>
    <row r="150" spans="1:31" x14ac:dyDescent="0.3">
      <c r="A150" t="s">
        <v>755</v>
      </c>
      <c r="B150" s="4">
        <v>45601</v>
      </c>
      <c r="C150" t="s">
        <v>1646</v>
      </c>
      <c r="D150" t="s">
        <v>756</v>
      </c>
      <c r="E150" t="s">
        <v>26</v>
      </c>
      <c r="F150" t="s">
        <v>757</v>
      </c>
      <c r="G150" t="s">
        <v>67</v>
      </c>
      <c r="H150" t="s">
        <v>758</v>
      </c>
      <c r="I150">
        <v>5699</v>
      </c>
      <c r="J150">
        <v>1</v>
      </c>
      <c r="K150" t="s">
        <v>1647</v>
      </c>
      <c r="L150">
        <v>5699</v>
      </c>
      <c r="M150">
        <v>3419.4</v>
      </c>
      <c r="N150" t="s">
        <v>598</v>
      </c>
      <c r="O150">
        <v>40</v>
      </c>
      <c r="P150">
        <v>2279.6</v>
      </c>
      <c r="Q150" t="s">
        <v>30</v>
      </c>
      <c r="R150" t="s">
        <v>46</v>
      </c>
      <c r="S150" t="s">
        <v>95</v>
      </c>
      <c r="T150" t="s">
        <v>33</v>
      </c>
      <c r="U150" t="s">
        <v>32</v>
      </c>
      <c r="V150" s="4">
        <v>45615</v>
      </c>
      <c r="W150" t="s">
        <v>1648</v>
      </c>
      <c r="X150" t="s">
        <v>1650</v>
      </c>
      <c r="Y150" t="s">
        <v>35</v>
      </c>
      <c r="Z150" t="s">
        <v>49</v>
      </c>
      <c r="AA150" t="s">
        <v>50</v>
      </c>
      <c r="AB150" s="4">
        <v>45644</v>
      </c>
      <c r="AC150" t="s">
        <v>1652</v>
      </c>
      <c r="AD150" t="s">
        <v>1653</v>
      </c>
      <c r="AE150" t="s">
        <v>52</v>
      </c>
    </row>
    <row r="151" spans="1:31" x14ac:dyDescent="0.3">
      <c r="A151" t="s">
        <v>761</v>
      </c>
      <c r="B151" s="4">
        <v>45601</v>
      </c>
      <c r="C151" t="s">
        <v>1646</v>
      </c>
      <c r="D151" t="s">
        <v>762</v>
      </c>
      <c r="E151" t="s">
        <v>26</v>
      </c>
      <c r="F151" t="s">
        <v>763</v>
      </c>
      <c r="G151" t="s">
        <v>79</v>
      </c>
      <c r="H151" t="s">
        <v>764</v>
      </c>
      <c r="I151">
        <v>599</v>
      </c>
      <c r="J151">
        <v>4</v>
      </c>
      <c r="K151" t="s">
        <v>1647</v>
      </c>
      <c r="L151">
        <v>2396</v>
      </c>
      <c r="M151">
        <v>1437.6</v>
      </c>
      <c r="N151" t="s">
        <v>598</v>
      </c>
      <c r="O151">
        <v>40</v>
      </c>
      <c r="P151">
        <v>958.4</v>
      </c>
      <c r="Q151" t="s">
        <v>60</v>
      </c>
      <c r="R151" t="s">
        <v>71</v>
      </c>
      <c r="S151" t="s">
        <v>108</v>
      </c>
      <c r="T151" t="s">
        <v>109</v>
      </c>
      <c r="U151" t="s">
        <v>32</v>
      </c>
      <c r="V151" s="4">
        <v>45614</v>
      </c>
      <c r="W151" t="s">
        <v>1648</v>
      </c>
      <c r="X151" t="s">
        <v>1650</v>
      </c>
      <c r="Y151" t="s">
        <v>35</v>
      </c>
      <c r="Z151" t="s">
        <v>49</v>
      </c>
      <c r="AA151" t="s">
        <v>158</v>
      </c>
      <c r="AB151" s="4">
        <v>45642</v>
      </c>
      <c r="AC151" t="s">
        <v>1652</v>
      </c>
      <c r="AD151" t="s">
        <v>1653</v>
      </c>
      <c r="AE151" t="s">
        <v>52</v>
      </c>
    </row>
    <row r="152" spans="1:31" x14ac:dyDescent="0.3">
      <c r="A152" t="s">
        <v>765</v>
      </c>
      <c r="B152" s="4">
        <v>45602</v>
      </c>
      <c r="C152" t="s">
        <v>1646</v>
      </c>
      <c r="D152" t="s">
        <v>766</v>
      </c>
      <c r="E152" t="s">
        <v>26</v>
      </c>
      <c r="F152" t="s">
        <v>767</v>
      </c>
      <c r="G152" t="s">
        <v>28</v>
      </c>
      <c r="H152" t="s">
        <v>768</v>
      </c>
      <c r="I152">
        <v>2999</v>
      </c>
      <c r="J152">
        <v>1</v>
      </c>
      <c r="K152" t="s">
        <v>1647</v>
      </c>
      <c r="L152">
        <v>2999</v>
      </c>
      <c r="M152">
        <v>2999</v>
      </c>
      <c r="O152">
        <v>0</v>
      </c>
      <c r="P152">
        <v>0</v>
      </c>
      <c r="Q152" t="s">
        <v>45</v>
      </c>
      <c r="R152" t="s">
        <v>31</v>
      </c>
      <c r="S152" t="s">
        <v>116</v>
      </c>
      <c r="T152" t="s">
        <v>117</v>
      </c>
      <c r="U152" t="s">
        <v>47</v>
      </c>
      <c r="V152" s="4">
        <v>45615</v>
      </c>
      <c r="W152" t="s">
        <v>1648</v>
      </c>
      <c r="X152" t="s">
        <v>1650</v>
      </c>
      <c r="Y152" t="s">
        <v>35</v>
      </c>
      <c r="Z152" t="s">
        <v>36</v>
      </c>
      <c r="AB152" s="4"/>
      <c r="AC152" t="s">
        <v>1649</v>
      </c>
      <c r="AD152" t="s">
        <v>1651</v>
      </c>
      <c r="AE152" t="s">
        <v>37</v>
      </c>
    </row>
    <row r="153" spans="1:31" x14ac:dyDescent="0.3">
      <c r="A153" t="s">
        <v>769</v>
      </c>
      <c r="B153" s="4">
        <v>45602</v>
      </c>
      <c r="C153" t="s">
        <v>1646</v>
      </c>
      <c r="D153" t="s">
        <v>770</v>
      </c>
      <c r="E153" t="s">
        <v>26</v>
      </c>
      <c r="F153" t="s">
        <v>771</v>
      </c>
      <c r="G153" t="s">
        <v>42</v>
      </c>
      <c r="H153" t="s">
        <v>772</v>
      </c>
      <c r="I153">
        <v>2799</v>
      </c>
      <c r="J153">
        <v>1</v>
      </c>
      <c r="K153" t="s">
        <v>1647</v>
      </c>
      <c r="L153">
        <v>2799</v>
      </c>
      <c r="M153">
        <v>2799</v>
      </c>
      <c r="O153">
        <v>0</v>
      </c>
      <c r="P153">
        <v>0</v>
      </c>
      <c r="Q153" t="s">
        <v>30</v>
      </c>
      <c r="R153" t="s">
        <v>46</v>
      </c>
      <c r="S153" t="s">
        <v>129</v>
      </c>
      <c r="T153" t="s">
        <v>130</v>
      </c>
      <c r="U153" t="s">
        <v>47</v>
      </c>
      <c r="V153" s="4">
        <v>45616</v>
      </c>
      <c r="W153" t="s">
        <v>1648</v>
      </c>
      <c r="X153" t="s">
        <v>1650</v>
      </c>
      <c r="Y153" t="s">
        <v>35</v>
      </c>
      <c r="Z153" t="s">
        <v>49</v>
      </c>
      <c r="AA153" t="s">
        <v>75</v>
      </c>
      <c r="AB153" s="4">
        <v>45644</v>
      </c>
      <c r="AC153" t="s">
        <v>1652</v>
      </c>
      <c r="AD153" t="s">
        <v>1653</v>
      </c>
      <c r="AE153" t="s">
        <v>52</v>
      </c>
    </row>
    <row r="154" spans="1:31" x14ac:dyDescent="0.3">
      <c r="A154" t="s">
        <v>773</v>
      </c>
      <c r="B154" s="4">
        <v>45602</v>
      </c>
      <c r="C154" t="s">
        <v>1646</v>
      </c>
      <c r="D154" t="s">
        <v>774</v>
      </c>
      <c r="E154" t="s">
        <v>40</v>
      </c>
      <c r="F154" t="s">
        <v>775</v>
      </c>
      <c r="G154" t="s">
        <v>58</v>
      </c>
      <c r="H154" t="s">
        <v>776</v>
      </c>
      <c r="I154">
        <v>1699</v>
      </c>
      <c r="J154">
        <v>1</v>
      </c>
      <c r="K154" t="s">
        <v>1647</v>
      </c>
      <c r="L154">
        <v>1699</v>
      </c>
      <c r="M154">
        <v>1444.15</v>
      </c>
      <c r="N154" t="s">
        <v>777</v>
      </c>
      <c r="O154">
        <v>15</v>
      </c>
      <c r="P154">
        <v>254.85</v>
      </c>
      <c r="Q154" t="s">
        <v>70</v>
      </c>
      <c r="R154" t="s">
        <v>71</v>
      </c>
      <c r="S154" t="s">
        <v>61</v>
      </c>
      <c r="T154" t="s">
        <v>62</v>
      </c>
      <c r="U154" t="s">
        <v>61</v>
      </c>
      <c r="V154" s="4">
        <v>45614</v>
      </c>
      <c r="W154" t="s">
        <v>1648</v>
      </c>
      <c r="X154" t="s">
        <v>1650</v>
      </c>
      <c r="Y154" t="s">
        <v>35</v>
      </c>
      <c r="Z154" t="s">
        <v>36</v>
      </c>
      <c r="AB154" s="4"/>
      <c r="AC154" t="s">
        <v>1649</v>
      </c>
      <c r="AD154" t="s">
        <v>1651</v>
      </c>
      <c r="AE154" t="s">
        <v>37</v>
      </c>
    </row>
    <row r="155" spans="1:31" x14ac:dyDescent="0.3">
      <c r="A155" t="s">
        <v>778</v>
      </c>
      <c r="B155" s="4">
        <v>45603</v>
      </c>
      <c r="C155" t="s">
        <v>1646</v>
      </c>
      <c r="D155" t="s">
        <v>779</v>
      </c>
      <c r="E155" t="s">
        <v>26</v>
      </c>
      <c r="F155" t="s">
        <v>780</v>
      </c>
      <c r="G155" t="s">
        <v>67</v>
      </c>
      <c r="H155" t="s">
        <v>781</v>
      </c>
      <c r="I155">
        <v>4599</v>
      </c>
      <c r="J155">
        <v>1</v>
      </c>
      <c r="K155" t="s">
        <v>1647</v>
      </c>
      <c r="L155">
        <v>4599</v>
      </c>
      <c r="M155">
        <v>4599</v>
      </c>
      <c r="O155">
        <v>0</v>
      </c>
      <c r="P155">
        <v>0</v>
      </c>
      <c r="Q155" t="s">
        <v>45</v>
      </c>
      <c r="R155" t="s">
        <v>31</v>
      </c>
      <c r="S155" t="s">
        <v>32</v>
      </c>
      <c r="T155" t="s">
        <v>33</v>
      </c>
      <c r="U155" t="s">
        <v>32</v>
      </c>
      <c r="V155" s="4">
        <v>45617</v>
      </c>
      <c r="W155" t="s">
        <v>1648</v>
      </c>
      <c r="X155" t="s">
        <v>1650</v>
      </c>
      <c r="Y155" t="s">
        <v>35</v>
      </c>
      <c r="Z155" t="s">
        <v>49</v>
      </c>
      <c r="AA155" t="s">
        <v>50</v>
      </c>
      <c r="AB155" s="4">
        <v>45646</v>
      </c>
      <c r="AC155" t="s">
        <v>1652</v>
      </c>
      <c r="AD155" t="s">
        <v>1653</v>
      </c>
      <c r="AE155" t="s">
        <v>52</v>
      </c>
    </row>
    <row r="156" spans="1:31" x14ac:dyDescent="0.3">
      <c r="A156" t="s">
        <v>784</v>
      </c>
      <c r="B156" s="4">
        <v>45603</v>
      </c>
      <c r="C156" t="s">
        <v>1646</v>
      </c>
      <c r="D156" t="s">
        <v>785</v>
      </c>
      <c r="E156" t="s">
        <v>26</v>
      </c>
      <c r="F156" t="s">
        <v>786</v>
      </c>
      <c r="G156" t="s">
        <v>79</v>
      </c>
      <c r="H156" t="s">
        <v>787</v>
      </c>
      <c r="I156">
        <v>899</v>
      </c>
      <c r="J156">
        <v>1</v>
      </c>
      <c r="K156" t="s">
        <v>1647</v>
      </c>
      <c r="L156">
        <v>899</v>
      </c>
      <c r="M156">
        <v>899</v>
      </c>
      <c r="O156">
        <v>0</v>
      </c>
      <c r="P156">
        <v>0</v>
      </c>
      <c r="Q156" t="s">
        <v>60</v>
      </c>
      <c r="R156" t="s">
        <v>46</v>
      </c>
      <c r="S156" t="s">
        <v>47</v>
      </c>
      <c r="T156" t="s">
        <v>47</v>
      </c>
      <c r="U156" t="s">
        <v>47</v>
      </c>
      <c r="V156" s="4">
        <v>45615</v>
      </c>
      <c r="W156" t="s">
        <v>1648</v>
      </c>
      <c r="X156" t="s">
        <v>1650</v>
      </c>
      <c r="Y156" t="s">
        <v>35</v>
      </c>
      <c r="Z156" t="s">
        <v>36</v>
      </c>
      <c r="AB156" s="4"/>
      <c r="AC156" t="s">
        <v>1649</v>
      </c>
      <c r="AD156" t="s">
        <v>1651</v>
      </c>
      <c r="AE156" t="s">
        <v>37</v>
      </c>
    </row>
    <row r="157" spans="1:31" x14ac:dyDescent="0.3">
      <c r="A157" t="s">
        <v>788</v>
      </c>
      <c r="B157" s="4">
        <v>45603</v>
      </c>
      <c r="C157" t="s">
        <v>1646</v>
      </c>
      <c r="D157" t="s">
        <v>789</v>
      </c>
      <c r="E157" t="s">
        <v>26</v>
      </c>
      <c r="F157" t="s">
        <v>790</v>
      </c>
      <c r="G157" t="s">
        <v>28</v>
      </c>
      <c r="H157" t="s">
        <v>791</v>
      </c>
      <c r="I157">
        <v>1799</v>
      </c>
      <c r="J157">
        <v>1</v>
      </c>
      <c r="K157" t="s">
        <v>1647</v>
      </c>
      <c r="L157">
        <v>1799</v>
      </c>
      <c r="M157">
        <v>1529.15</v>
      </c>
      <c r="N157" t="s">
        <v>777</v>
      </c>
      <c r="O157">
        <v>15</v>
      </c>
      <c r="P157">
        <v>269.85000000000002</v>
      </c>
      <c r="Q157" t="s">
        <v>30</v>
      </c>
      <c r="R157" t="s">
        <v>71</v>
      </c>
      <c r="S157" t="s">
        <v>135</v>
      </c>
      <c r="T157" t="s">
        <v>136</v>
      </c>
      <c r="U157" t="s">
        <v>47</v>
      </c>
      <c r="V157" s="4">
        <v>45616</v>
      </c>
      <c r="W157" t="s">
        <v>1648</v>
      </c>
      <c r="X157" t="s">
        <v>1650</v>
      </c>
      <c r="Y157" t="s">
        <v>35</v>
      </c>
      <c r="Z157" t="s">
        <v>49</v>
      </c>
      <c r="AA157" t="s">
        <v>119</v>
      </c>
      <c r="AB157" s="4">
        <v>45645</v>
      </c>
      <c r="AC157" t="s">
        <v>1652</v>
      </c>
      <c r="AD157" t="s">
        <v>1653</v>
      </c>
      <c r="AE157" t="s">
        <v>52</v>
      </c>
    </row>
    <row r="158" spans="1:31" x14ac:dyDescent="0.3">
      <c r="A158" t="s">
        <v>793</v>
      </c>
      <c r="B158" s="4">
        <v>45604</v>
      </c>
      <c r="C158" t="s">
        <v>1646</v>
      </c>
      <c r="D158" t="s">
        <v>794</v>
      </c>
      <c r="E158" t="s">
        <v>26</v>
      </c>
      <c r="F158" t="s">
        <v>795</v>
      </c>
      <c r="G158" t="s">
        <v>42</v>
      </c>
      <c r="H158" t="s">
        <v>796</v>
      </c>
      <c r="I158">
        <v>2599</v>
      </c>
      <c r="J158">
        <v>1</v>
      </c>
      <c r="K158" t="s">
        <v>1647</v>
      </c>
      <c r="L158">
        <v>2599</v>
      </c>
      <c r="M158">
        <v>2599</v>
      </c>
      <c r="O158">
        <v>0</v>
      </c>
      <c r="P158">
        <v>0</v>
      </c>
      <c r="Q158" t="s">
        <v>128</v>
      </c>
      <c r="R158" t="s">
        <v>31</v>
      </c>
      <c r="S158" t="s">
        <v>156</v>
      </c>
      <c r="T158" t="s">
        <v>130</v>
      </c>
      <c r="U158" t="s">
        <v>47</v>
      </c>
      <c r="V158" s="4">
        <v>45618</v>
      </c>
      <c r="W158" t="s">
        <v>1648</v>
      </c>
      <c r="X158" t="s">
        <v>1650</v>
      </c>
      <c r="Y158" t="s">
        <v>35</v>
      </c>
      <c r="Z158" t="s">
        <v>36</v>
      </c>
      <c r="AB158" s="4"/>
      <c r="AC158" t="s">
        <v>1649</v>
      </c>
      <c r="AD158" t="s">
        <v>1651</v>
      </c>
      <c r="AE158" t="s">
        <v>37</v>
      </c>
    </row>
    <row r="159" spans="1:31" x14ac:dyDescent="0.3">
      <c r="A159" t="s">
        <v>797</v>
      </c>
      <c r="B159" s="4">
        <v>45604</v>
      </c>
      <c r="C159" t="s">
        <v>1646</v>
      </c>
      <c r="D159" t="s">
        <v>798</v>
      </c>
      <c r="E159" t="s">
        <v>40</v>
      </c>
      <c r="F159" t="s">
        <v>799</v>
      </c>
      <c r="G159" t="s">
        <v>58</v>
      </c>
      <c r="H159" t="s">
        <v>800</v>
      </c>
      <c r="I159">
        <v>1599</v>
      </c>
      <c r="J159">
        <v>1</v>
      </c>
      <c r="K159" t="s">
        <v>1647</v>
      </c>
      <c r="L159">
        <v>1599</v>
      </c>
      <c r="M159">
        <v>1599</v>
      </c>
      <c r="O159">
        <v>0</v>
      </c>
      <c r="P159">
        <v>0</v>
      </c>
      <c r="Q159" t="s">
        <v>45</v>
      </c>
      <c r="R159" t="s">
        <v>46</v>
      </c>
      <c r="S159" t="s">
        <v>164</v>
      </c>
      <c r="T159" t="s">
        <v>165</v>
      </c>
      <c r="U159" t="s">
        <v>47</v>
      </c>
      <c r="V159" s="4">
        <v>45616</v>
      </c>
      <c r="W159" t="s">
        <v>1648</v>
      </c>
      <c r="X159" t="s">
        <v>1650</v>
      </c>
      <c r="Y159" t="s">
        <v>35</v>
      </c>
      <c r="Z159" t="s">
        <v>49</v>
      </c>
      <c r="AA159" t="s">
        <v>89</v>
      </c>
      <c r="AB159" s="4">
        <v>45644</v>
      </c>
      <c r="AC159" t="s">
        <v>1652</v>
      </c>
      <c r="AD159" t="s">
        <v>1653</v>
      </c>
      <c r="AE159" t="s">
        <v>52</v>
      </c>
    </row>
    <row r="160" spans="1:31" x14ac:dyDescent="0.3">
      <c r="A160" t="s">
        <v>801</v>
      </c>
      <c r="B160" s="4">
        <v>45604</v>
      </c>
      <c r="C160" t="s">
        <v>1646</v>
      </c>
      <c r="D160" t="s">
        <v>802</v>
      </c>
      <c r="E160" t="s">
        <v>26</v>
      </c>
      <c r="F160" t="s">
        <v>803</v>
      </c>
      <c r="G160" t="s">
        <v>67</v>
      </c>
      <c r="H160" t="s">
        <v>804</v>
      </c>
      <c r="I160">
        <v>5299</v>
      </c>
      <c r="J160">
        <v>1</v>
      </c>
      <c r="K160" t="s">
        <v>1647</v>
      </c>
      <c r="L160">
        <v>5299</v>
      </c>
      <c r="M160">
        <v>4504.1499999999996</v>
      </c>
      <c r="N160" t="s">
        <v>777</v>
      </c>
      <c r="O160">
        <v>15</v>
      </c>
      <c r="P160">
        <v>794.85</v>
      </c>
      <c r="Q160" t="s">
        <v>70</v>
      </c>
      <c r="R160" t="s">
        <v>71</v>
      </c>
      <c r="S160" t="s">
        <v>171</v>
      </c>
      <c r="T160" t="s">
        <v>172</v>
      </c>
      <c r="U160" t="s">
        <v>32</v>
      </c>
      <c r="V160" s="4">
        <v>45619</v>
      </c>
      <c r="W160" t="s">
        <v>1648</v>
      </c>
      <c r="X160" t="s">
        <v>1650</v>
      </c>
      <c r="Y160" t="s">
        <v>35</v>
      </c>
      <c r="Z160" t="s">
        <v>36</v>
      </c>
      <c r="AB160" s="4"/>
      <c r="AC160" t="s">
        <v>1649</v>
      </c>
      <c r="AD160" t="s">
        <v>1651</v>
      </c>
      <c r="AE160" t="s">
        <v>37</v>
      </c>
    </row>
    <row r="161" spans="1:31" x14ac:dyDescent="0.3">
      <c r="A161" t="s">
        <v>806</v>
      </c>
      <c r="B161" s="4">
        <v>45605</v>
      </c>
      <c r="C161" t="s">
        <v>1646</v>
      </c>
      <c r="D161" t="s">
        <v>807</v>
      </c>
      <c r="E161" t="s">
        <v>26</v>
      </c>
      <c r="F161" t="s">
        <v>808</v>
      </c>
      <c r="G161" t="s">
        <v>79</v>
      </c>
      <c r="H161" t="s">
        <v>809</v>
      </c>
      <c r="I161">
        <v>499</v>
      </c>
      <c r="J161">
        <v>3</v>
      </c>
      <c r="K161" t="s">
        <v>1647</v>
      </c>
      <c r="L161">
        <v>1497</v>
      </c>
      <c r="M161">
        <v>1497</v>
      </c>
      <c r="O161">
        <v>0</v>
      </c>
      <c r="P161">
        <v>0</v>
      </c>
      <c r="Q161" t="s">
        <v>30</v>
      </c>
      <c r="R161" t="s">
        <v>31</v>
      </c>
      <c r="S161" t="s">
        <v>177</v>
      </c>
      <c r="T161" t="s">
        <v>109</v>
      </c>
      <c r="U161" t="s">
        <v>32</v>
      </c>
      <c r="V161" s="4">
        <v>45617</v>
      </c>
      <c r="W161" t="s">
        <v>1648</v>
      </c>
      <c r="X161" t="s">
        <v>1650</v>
      </c>
      <c r="Y161" t="s">
        <v>35</v>
      </c>
      <c r="Z161" t="s">
        <v>49</v>
      </c>
      <c r="AA161" t="s">
        <v>158</v>
      </c>
      <c r="AB161" s="4">
        <v>45645</v>
      </c>
      <c r="AC161" t="s">
        <v>1652</v>
      </c>
      <c r="AD161" t="s">
        <v>1653</v>
      </c>
      <c r="AE161" t="s">
        <v>52</v>
      </c>
    </row>
    <row r="162" spans="1:31" x14ac:dyDescent="0.3">
      <c r="A162" t="s">
        <v>810</v>
      </c>
      <c r="B162" s="4">
        <v>45605</v>
      </c>
      <c r="C162" t="s">
        <v>1646</v>
      </c>
      <c r="D162" t="s">
        <v>811</v>
      </c>
      <c r="E162" t="s">
        <v>26</v>
      </c>
      <c r="F162" t="s">
        <v>812</v>
      </c>
      <c r="G162" t="s">
        <v>28</v>
      </c>
      <c r="H162" t="s">
        <v>813</v>
      </c>
      <c r="I162">
        <v>2099</v>
      </c>
      <c r="J162">
        <v>1</v>
      </c>
      <c r="K162" t="s">
        <v>1647</v>
      </c>
      <c r="L162">
        <v>2099</v>
      </c>
      <c r="M162">
        <v>2099</v>
      </c>
      <c r="O162">
        <v>0</v>
      </c>
      <c r="P162">
        <v>0</v>
      </c>
      <c r="Q162" t="s">
        <v>60</v>
      </c>
      <c r="R162" t="s">
        <v>46</v>
      </c>
      <c r="S162" t="s">
        <v>184</v>
      </c>
      <c r="T162" t="s">
        <v>185</v>
      </c>
      <c r="U162" t="s">
        <v>47</v>
      </c>
      <c r="V162" s="4"/>
      <c r="W162" t="s">
        <v>1656</v>
      </c>
      <c r="X162" t="s">
        <v>1657</v>
      </c>
      <c r="Y162" t="s">
        <v>137</v>
      </c>
      <c r="Z162" t="s">
        <v>36</v>
      </c>
      <c r="AB162" s="4"/>
      <c r="AC162" t="s">
        <v>1656</v>
      </c>
      <c r="AD162" t="s">
        <v>1651</v>
      </c>
      <c r="AE162" t="s">
        <v>37</v>
      </c>
    </row>
    <row r="163" spans="1:31" x14ac:dyDescent="0.3">
      <c r="A163" t="s">
        <v>814</v>
      </c>
      <c r="B163" s="4">
        <v>45605</v>
      </c>
      <c r="C163" t="s">
        <v>1646</v>
      </c>
      <c r="D163" t="s">
        <v>815</v>
      </c>
      <c r="E163" t="s">
        <v>26</v>
      </c>
      <c r="F163" t="s">
        <v>816</v>
      </c>
      <c r="G163" t="s">
        <v>42</v>
      </c>
      <c r="H163" t="s">
        <v>817</v>
      </c>
      <c r="I163">
        <v>2399</v>
      </c>
      <c r="J163">
        <v>1</v>
      </c>
      <c r="K163" t="s">
        <v>1647</v>
      </c>
      <c r="L163">
        <v>2399</v>
      </c>
      <c r="M163">
        <v>2039.15</v>
      </c>
      <c r="N163" t="s">
        <v>777</v>
      </c>
      <c r="O163">
        <v>15</v>
      </c>
      <c r="P163">
        <v>359.85</v>
      </c>
      <c r="Q163" t="s">
        <v>45</v>
      </c>
      <c r="R163" t="s">
        <v>71</v>
      </c>
      <c r="S163" t="s">
        <v>190</v>
      </c>
      <c r="T163" t="s">
        <v>172</v>
      </c>
      <c r="U163" t="s">
        <v>32</v>
      </c>
      <c r="V163" s="4">
        <v>45620</v>
      </c>
      <c r="W163" t="s">
        <v>1648</v>
      </c>
      <c r="X163" t="s">
        <v>1650</v>
      </c>
      <c r="Y163" t="s">
        <v>35</v>
      </c>
      <c r="Z163" t="s">
        <v>49</v>
      </c>
      <c r="AA163" t="s">
        <v>50</v>
      </c>
      <c r="AB163" s="4">
        <v>45648</v>
      </c>
      <c r="AC163" t="s">
        <v>1652</v>
      </c>
      <c r="AD163" t="s">
        <v>1653</v>
      </c>
      <c r="AE163" t="s">
        <v>52</v>
      </c>
    </row>
    <row r="164" spans="1:31" x14ac:dyDescent="0.3">
      <c r="A164" t="s">
        <v>819</v>
      </c>
      <c r="B164" s="4">
        <v>45606</v>
      </c>
      <c r="C164" t="s">
        <v>1646</v>
      </c>
      <c r="D164" t="s">
        <v>820</v>
      </c>
      <c r="E164" t="s">
        <v>40</v>
      </c>
      <c r="F164" t="s">
        <v>821</v>
      </c>
      <c r="G164" t="s">
        <v>58</v>
      </c>
      <c r="H164" t="s">
        <v>822</v>
      </c>
      <c r="I164">
        <v>1799</v>
      </c>
      <c r="J164">
        <v>1</v>
      </c>
      <c r="K164" t="s">
        <v>1647</v>
      </c>
      <c r="L164">
        <v>1799</v>
      </c>
      <c r="M164">
        <v>1799</v>
      </c>
      <c r="O164">
        <v>0</v>
      </c>
      <c r="P164">
        <v>0</v>
      </c>
      <c r="Q164" t="s">
        <v>128</v>
      </c>
      <c r="R164" t="s">
        <v>31</v>
      </c>
      <c r="S164" t="s">
        <v>195</v>
      </c>
      <c r="T164" t="s">
        <v>33</v>
      </c>
      <c r="U164" t="s">
        <v>32</v>
      </c>
      <c r="V164" s="4">
        <v>45618</v>
      </c>
      <c r="W164" t="s">
        <v>1648</v>
      </c>
      <c r="X164" t="s">
        <v>1650</v>
      </c>
      <c r="Y164" t="s">
        <v>35</v>
      </c>
      <c r="Z164" t="s">
        <v>36</v>
      </c>
      <c r="AB164" s="4"/>
      <c r="AC164" t="s">
        <v>1649</v>
      </c>
      <c r="AD164" t="s">
        <v>1651</v>
      </c>
      <c r="AE164" t="s">
        <v>37</v>
      </c>
    </row>
    <row r="165" spans="1:31" x14ac:dyDescent="0.3">
      <c r="A165" t="s">
        <v>823</v>
      </c>
      <c r="B165" s="4">
        <v>45575</v>
      </c>
      <c r="C165" t="s">
        <v>1646</v>
      </c>
      <c r="D165" t="s">
        <v>824</v>
      </c>
      <c r="E165" t="s">
        <v>26</v>
      </c>
      <c r="F165" t="s">
        <v>825</v>
      </c>
      <c r="G165" t="s">
        <v>67</v>
      </c>
      <c r="H165" t="s">
        <v>826</v>
      </c>
      <c r="I165">
        <v>4199</v>
      </c>
      <c r="J165">
        <v>1</v>
      </c>
      <c r="K165" t="s">
        <v>1647</v>
      </c>
      <c r="L165">
        <v>4199</v>
      </c>
      <c r="M165">
        <v>4199</v>
      </c>
      <c r="O165">
        <v>0</v>
      </c>
      <c r="P165">
        <v>0</v>
      </c>
      <c r="Q165" t="s">
        <v>30</v>
      </c>
      <c r="R165" t="s">
        <v>46</v>
      </c>
      <c r="S165" t="s">
        <v>202</v>
      </c>
      <c r="T165" t="s">
        <v>73</v>
      </c>
      <c r="U165" t="s">
        <v>61</v>
      </c>
      <c r="V165" s="4">
        <v>45621</v>
      </c>
      <c r="W165" t="s">
        <v>1648</v>
      </c>
      <c r="X165" t="s">
        <v>1655</v>
      </c>
      <c r="Y165" t="s">
        <v>35</v>
      </c>
      <c r="Z165" t="s">
        <v>49</v>
      </c>
      <c r="AA165" t="s">
        <v>75</v>
      </c>
      <c r="AB165" s="4">
        <v>45650</v>
      </c>
      <c r="AC165" t="s">
        <v>1652</v>
      </c>
      <c r="AD165" t="s">
        <v>1653</v>
      </c>
      <c r="AE165" t="s">
        <v>52</v>
      </c>
    </row>
    <row r="166" spans="1:31" x14ac:dyDescent="0.3">
      <c r="A166" t="s">
        <v>828</v>
      </c>
      <c r="B166" s="4">
        <v>45606</v>
      </c>
      <c r="C166" t="s">
        <v>1646</v>
      </c>
      <c r="D166" t="s">
        <v>829</v>
      </c>
      <c r="E166" t="s">
        <v>26</v>
      </c>
      <c r="F166" t="s">
        <v>830</v>
      </c>
      <c r="G166" t="s">
        <v>79</v>
      </c>
      <c r="H166" t="s">
        <v>831</v>
      </c>
      <c r="I166">
        <v>699</v>
      </c>
      <c r="J166">
        <v>2</v>
      </c>
      <c r="K166" t="s">
        <v>1647</v>
      </c>
      <c r="L166">
        <v>1398</v>
      </c>
      <c r="M166">
        <v>1398</v>
      </c>
      <c r="O166">
        <v>0</v>
      </c>
      <c r="P166">
        <v>0</v>
      </c>
      <c r="Q166" t="s">
        <v>70</v>
      </c>
      <c r="R166" t="s">
        <v>71</v>
      </c>
      <c r="S166" t="s">
        <v>208</v>
      </c>
      <c r="T166" t="s">
        <v>209</v>
      </c>
      <c r="U166" t="s">
        <v>61</v>
      </c>
      <c r="V166" s="4">
        <v>45619</v>
      </c>
      <c r="W166" t="s">
        <v>1648</v>
      </c>
      <c r="X166" t="s">
        <v>1650</v>
      </c>
      <c r="Y166" t="s">
        <v>35</v>
      </c>
      <c r="Z166" t="s">
        <v>36</v>
      </c>
      <c r="AB166" s="4"/>
      <c r="AC166" t="s">
        <v>1649</v>
      </c>
      <c r="AD166" t="s">
        <v>1651</v>
      </c>
      <c r="AE166" t="s">
        <v>37</v>
      </c>
    </row>
    <row r="167" spans="1:31" x14ac:dyDescent="0.3">
      <c r="A167" t="s">
        <v>832</v>
      </c>
      <c r="B167" s="4">
        <v>45607</v>
      </c>
      <c r="C167" t="s">
        <v>1646</v>
      </c>
      <c r="D167" t="s">
        <v>833</v>
      </c>
      <c r="E167" t="s">
        <v>26</v>
      </c>
      <c r="F167" t="s">
        <v>557</v>
      </c>
      <c r="G167" t="s">
        <v>28</v>
      </c>
      <c r="H167" t="s">
        <v>834</v>
      </c>
      <c r="I167">
        <v>1599</v>
      </c>
      <c r="J167">
        <v>1</v>
      </c>
      <c r="K167" t="s">
        <v>1647</v>
      </c>
      <c r="L167">
        <v>1599</v>
      </c>
      <c r="M167">
        <v>1359.15</v>
      </c>
      <c r="N167" t="s">
        <v>777</v>
      </c>
      <c r="O167">
        <v>15</v>
      </c>
      <c r="P167">
        <v>239.85</v>
      </c>
      <c r="Q167" t="s">
        <v>45</v>
      </c>
      <c r="R167" t="s">
        <v>31</v>
      </c>
      <c r="S167" t="s">
        <v>215</v>
      </c>
      <c r="T167" t="s">
        <v>216</v>
      </c>
      <c r="U167" t="s">
        <v>61</v>
      </c>
      <c r="V167" s="4">
        <v>45620</v>
      </c>
      <c r="W167" t="s">
        <v>1648</v>
      </c>
      <c r="X167" t="s">
        <v>1650</v>
      </c>
      <c r="Y167" t="s">
        <v>35</v>
      </c>
      <c r="Z167" t="s">
        <v>49</v>
      </c>
      <c r="AA167" t="s">
        <v>50</v>
      </c>
      <c r="AB167" s="4">
        <v>45649</v>
      </c>
      <c r="AC167" t="s">
        <v>1652</v>
      </c>
      <c r="AD167" t="s">
        <v>1653</v>
      </c>
      <c r="AE167" t="s">
        <v>52</v>
      </c>
    </row>
    <row r="168" spans="1:31" x14ac:dyDescent="0.3">
      <c r="A168" t="s">
        <v>836</v>
      </c>
      <c r="B168" s="4">
        <v>45607</v>
      </c>
      <c r="C168" t="s">
        <v>1646</v>
      </c>
      <c r="D168" t="s">
        <v>837</v>
      </c>
      <c r="E168" t="s">
        <v>26</v>
      </c>
      <c r="F168" t="s">
        <v>838</v>
      </c>
      <c r="G168" t="s">
        <v>42</v>
      </c>
      <c r="H168" t="s">
        <v>839</v>
      </c>
      <c r="I168">
        <v>2899</v>
      </c>
      <c r="J168">
        <v>1</v>
      </c>
      <c r="K168" t="s">
        <v>1647</v>
      </c>
      <c r="L168">
        <v>2899</v>
      </c>
      <c r="M168">
        <v>2899</v>
      </c>
      <c r="O168">
        <v>0</v>
      </c>
      <c r="P168">
        <v>0</v>
      </c>
      <c r="Q168" t="s">
        <v>60</v>
      </c>
      <c r="R168" t="s">
        <v>46</v>
      </c>
      <c r="S168" t="s">
        <v>221</v>
      </c>
      <c r="T168" t="s">
        <v>209</v>
      </c>
      <c r="U168" t="s">
        <v>61</v>
      </c>
      <c r="V168" s="4">
        <v>45622</v>
      </c>
      <c r="W168" t="s">
        <v>1648</v>
      </c>
      <c r="X168" t="s">
        <v>1650</v>
      </c>
      <c r="Y168" t="s">
        <v>35</v>
      </c>
      <c r="Z168" t="s">
        <v>49</v>
      </c>
      <c r="AA168" t="s">
        <v>119</v>
      </c>
      <c r="AB168" s="4">
        <v>45651</v>
      </c>
      <c r="AC168" t="s">
        <v>1652</v>
      </c>
      <c r="AD168" t="s">
        <v>1653</v>
      </c>
      <c r="AE168" t="s">
        <v>52</v>
      </c>
    </row>
    <row r="169" spans="1:31" x14ac:dyDescent="0.3">
      <c r="A169" t="s">
        <v>841</v>
      </c>
      <c r="B169" s="4">
        <v>45607</v>
      </c>
      <c r="C169" t="s">
        <v>1646</v>
      </c>
      <c r="D169" t="s">
        <v>842</v>
      </c>
      <c r="E169" t="s">
        <v>40</v>
      </c>
      <c r="F169" t="s">
        <v>843</v>
      </c>
      <c r="G169" t="s">
        <v>58</v>
      </c>
      <c r="H169" t="s">
        <v>844</v>
      </c>
      <c r="I169">
        <v>2199</v>
      </c>
      <c r="J169">
        <v>1</v>
      </c>
      <c r="K169" t="s">
        <v>1647</v>
      </c>
      <c r="L169">
        <v>2199</v>
      </c>
      <c r="M169">
        <v>2199</v>
      </c>
      <c r="O169">
        <v>0</v>
      </c>
      <c r="P169">
        <v>0</v>
      </c>
      <c r="Q169" t="s">
        <v>30</v>
      </c>
      <c r="R169" t="s">
        <v>71</v>
      </c>
      <c r="S169" t="s">
        <v>226</v>
      </c>
      <c r="T169" t="s">
        <v>62</v>
      </c>
      <c r="U169" t="s">
        <v>61</v>
      </c>
      <c r="V169" s="4">
        <v>45620</v>
      </c>
      <c r="W169" t="s">
        <v>1648</v>
      </c>
      <c r="X169" t="s">
        <v>1650</v>
      </c>
      <c r="Y169" t="s">
        <v>35</v>
      </c>
      <c r="Z169" t="s">
        <v>36</v>
      </c>
      <c r="AB169" s="4"/>
      <c r="AC169" t="s">
        <v>1649</v>
      </c>
      <c r="AD169" t="s">
        <v>1651</v>
      </c>
      <c r="AE169" t="s">
        <v>37</v>
      </c>
    </row>
    <row r="170" spans="1:31" x14ac:dyDescent="0.3">
      <c r="A170" t="s">
        <v>845</v>
      </c>
      <c r="B170" s="4">
        <v>45608</v>
      </c>
      <c r="C170" t="s">
        <v>1646</v>
      </c>
      <c r="D170" t="s">
        <v>846</v>
      </c>
      <c r="E170" t="s">
        <v>26</v>
      </c>
      <c r="F170" t="s">
        <v>847</v>
      </c>
      <c r="G170" t="s">
        <v>67</v>
      </c>
      <c r="H170" t="s">
        <v>848</v>
      </c>
      <c r="I170">
        <v>5599</v>
      </c>
      <c r="J170">
        <v>1</v>
      </c>
      <c r="K170" t="s">
        <v>1647</v>
      </c>
      <c r="L170">
        <v>5599</v>
      </c>
      <c r="M170">
        <v>5599</v>
      </c>
      <c r="O170">
        <v>0</v>
      </c>
      <c r="P170">
        <v>0</v>
      </c>
      <c r="Q170" t="s">
        <v>45</v>
      </c>
      <c r="R170" t="s">
        <v>31</v>
      </c>
      <c r="S170" t="s">
        <v>233</v>
      </c>
      <c r="T170" t="s">
        <v>109</v>
      </c>
      <c r="U170" t="s">
        <v>32</v>
      </c>
      <c r="V170" s="4">
        <v>45623</v>
      </c>
      <c r="W170" t="s">
        <v>1648</v>
      </c>
      <c r="X170" t="s">
        <v>1650</v>
      </c>
      <c r="Y170" t="s">
        <v>35</v>
      </c>
      <c r="Z170" t="s">
        <v>49</v>
      </c>
      <c r="AA170" t="s">
        <v>89</v>
      </c>
      <c r="AB170" s="4">
        <v>45652</v>
      </c>
      <c r="AC170" t="s">
        <v>1652</v>
      </c>
      <c r="AD170" t="s">
        <v>1653</v>
      </c>
      <c r="AE170" t="s">
        <v>52</v>
      </c>
    </row>
    <row r="171" spans="1:31" x14ac:dyDescent="0.3">
      <c r="A171" t="s">
        <v>851</v>
      </c>
      <c r="B171" s="4">
        <v>45608</v>
      </c>
      <c r="C171" t="s">
        <v>1646</v>
      </c>
      <c r="D171" t="s">
        <v>852</v>
      </c>
      <c r="E171" t="s">
        <v>26</v>
      </c>
      <c r="F171" t="s">
        <v>853</v>
      </c>
      <c r="G171" t="s">
        <v>79</v>
      </c>
      <c r="H171" t="s">
        <v>854</v>
      </c>
      <c r="I171">
        <v>399</v>
      </c>
      <c r="J171">
        <v>2</v>
      </c>
      <c r="K171" t="s">
        <v>1647</v>
      </c>
      <c r="L171">
        <v>798</v>
      </c>
      <c r="M171">
        <v>678.3</v>
      </c>
      <c r="N171" t="s">
        <v>777</v>
      </c>
      <c r="O171">
        <v>15</v>
      </c>
      <c r="P171">
        <v>119.7</v>
      </c>
      <c r="Q171" t="s">
        <v>128</v>
      </c>
      <c r="R171" t="s">
        <v>46</v>
      </c>
      <c r="S171" t="s">
        <v>238</v>
      </c>
      <c r="T171" t="s">
        <v>109</v>
      </c>
      <c r="U171" t="s">
        <v>32</v>
      </c>
      <c r="V171" s="4">
        <v>45621</v>
      </c>
      <c r="W171" t="s">
        <v>1648</v>
      </c>
      <c r="X171" t="s">
        <v>1650</v>
      </c>
      <c r="Y171" t="s">
        <v>35</v>
      </c>
      <c r="Z171" t="s">
        <v>36</v>
      </c>
      <c r="AB171" s="4"/>
      <c r="AC171" t="s">
        <v>1649</v>
      </c>
      <c r="AD171" t="s">
        <v>1651</v>
      </c>
      <c r="AE171" t="s">
        <v>37</v>
      </c>
    </row>
    <row r="172" spans="1:31" x14ac:dyDescent="0.3">
      <c r="A172" t="s">
        <v>855</v>
      </c>
      <c r="B172" s="4">
        <v>45608</v>
      </c>
      <c r="C172" t="s">
        <v>1646</v>
      </c>
      <c r="D172" t="s">
        <v>856</v>
      </c>
      <c r="E172" t="s">
        <v>26</v>
      </c>
      <c r="F172" t="s">
        <v>857</v>
      </c>
      <c r="G172" t="s">
        <v>28</v>
      </c>
      <c r="H172" t="s">
        <v>858</v>
      </c>
      <c r="I172">
        <v>1899</v>
      </c>
      <c r="J172">
        <v>1</v>
      </c>
      <c r="K172" t="s">
        <v>1647</v>
      </c>
      <c r="L172">
        <v>1899</v>
      </c>
      <c r="M172">
        <v>1899</v>
      </c>
      <c r="O172">
        <v>0</v>
      </c>
      <c r="P172">
        <v>0</v>
      </c>
      <c r="Q172" t="s">
        <v>70</v>
      </c>
      <c r="R172" t="s">
        <v>71</v>
      </c>
      <c r="S172" t="s">
        <v>243</v>
      </c>
      <c r="T172" t="s">
        <v>130</v>
      </c>
      <c r="U172" t="s">
        <v>47</v>
      </c>
      <c r="V172" s="4">
        <v>45622</v>
      </c>
      <c r="W172" t="s">
        <v>1648</v>
      </c>
      <c r="X172" t="s">
        <v>1650</v>
      </c>
      <c r="Y172" t="s">
        <v>35</v>
      </c>
      <c r="Z172" t="s">
        <v>49</v>
      </c>
      <c r="AA172" t="s">
        <v>75</v>
      </c>
      <c r="AB172" s="4">
        <v>45650</v>
      </c>
      <c r="AC172" t="s">
        <v>1652</v>
      </c>
      <c r="AD172" t="s">
        <v>1653</v>
      </c>
      <c r="AE172" t="s">
        <v>52</v>
      </c>
    </row>
    <row r="173" spans="1:31" x14ac:dyDescent="0.3">
      <c r="A173" t="s">
        <v>859</v>
      </c>
      <c r="B173" s="4">
        <v>45609</v>
      </c>
      <c r="C173" t="s">
        <v>1646</v>
      </c>
      <c r="D173" t="s">
        <v>860</v>
      </c>
      <c r="E173" t="s">
        <v>26</v>
      </c>
      <c r="F173" t="s">
        <v>861</v>
      </c>
      <c r="G173" t="s">
        <v>42</v>
      </c>
      <c r="H173" t="s">
        <v>862</v>
      </c>
      <c r="I173">
        <v>2699</v>
      </c>
      <c r="J173">
        <v>1</v>
      </c>
      <c r="K173" t="s">
        <v>1647</v>
      </c>
      <c r="L173">
        <v>2699</v>
      </c>
      <c r="M173">
        <v>2699</v>
      </c>
      <c r="O173">
        <v>0</v>
      </c>
      <c r="P173">
        <v>0</v>
      </c>
      <c r="Q173" t="s">
        <v>30</v>
      </c>
      <c r="R173" t="s">
        <v>31</v>
      </c>
      <c r="S173" t="s">
        <v>32</v>
      </c>
      <c r="T173" t="s">
        <v>33</v>
      </c>
      <c r="U173" t="s">
        <v>32</v>
      </c>
      <c r="V173" s="4">
        <v>45624</v>
      </c>
      <c r="W173" t="s">
        <v>1648</v>
      </c>
      <c r="X173" t="s">
        <v>1650</v>
      </c>
      <c r="Y173" t="s">
        <v>35</v>
      </c>
      <c r="Z173" t="s">
        <v>36</v>
      </c>
      <c r="AB173" s="4"/>
      <c r="AC173" t="s">
        <v>1649</v>
      </c>
      <c r="AD173" t="s">
        <v>1651</v>
      </c>
      <c r="AE173" t="s">
        <v>37</v>
      </c>
    </row>
    <row r="174" spans="1:31" x14ac:dyDescent="0.3">
      <c r="A174" t="s">
        <v>863</v>
      </c>
      <c r="B174" s="4">
        <v>45609</v>
      </c>
      <c r="C174" t="s">
        <v>1646</v>
      </c>
      <c r="D174" t="s">
        <v>864</v>
      </c>
      <c r="E174" t="s">
        <v>40</v>
      </c>
      <c r="F174" t="s">
        <v>865</v>
      </c>
      <c r="G174" t="s">
        <v>58</v>
      </c>
      <c r="H174" t="s">
        <v>866</v>
      </c>
      <c r="I174">
        <v>2499</v>
      </c>
      <c r="J174">
        <v>1</v>
      </c>
      <c r="K174" t="s">
        <v>1647</v>
      </c>
      <c r="L174">
        <v>2499</v>
      </c>
      <c r="M174">
        <v>2124.15</v>
      </c>
      <c r="N174" t="s">
        <v>777</v>
      </c>
      <c r="O174">
        <v>15</v>
      </c>
      <c r="P174">
        <v>374.85</v>
      </c>
      <c r="Q174" t="s">
        <v>45</v>
      </c>
      <c r="R174" t="s">
        <v>46</v>
      </c>
      <c r="S174" t="s">
        <v>47</v>
      </c>
      <c r="T174" t="s">
        <v>47</v>
      </c>
      <c r="U174" t="s">
        <v>47</v>
      </c>
      <c r="V174" s="4">
        <v>45622</v>
      </c>
      <c r="W174" t="s">
        <v>1648</v>
      </c>
      <c r="X174" t="s">
        <v>1650</v>
      </c>
      <c r="Y174" t="s">
        <v>35</v>
      </c>
      <c r="Z174" t="s">
        <v>49</v>
      </c>
      <c r="AA174" t="s">
        <v>50</v>
      </c>
      <c r="AB174" s="4">
        <v>45651</v>
      </c>
      <c r="AC174" t="s">
        <v>1652</v>
      </c>
      <c r="AD174" t="s">
        <v>1653</v>
      </c>
      <c r="AE174" t="s">
        <v>52</v>
      </c>
    </row>
    <row r="175" spans="1:31" x14ac:dyDescent="0.3">
      <c r="A175" t="s">
        <v>867</v>
      </c>
      <c r="B175" s="4">
        <v>45609</v>
      </c>
      <c r="C175" t="s">
        <v>1646</v>
      </c>
      <c r="D175" t="s">
        <v>868</v>
      </c>
      <c r="E175" t="s">
        <v>26</v>
      </c>
      <c r="F175" t="s">
        <v>869</v>
      </c>
      <c r="G175" t="s">
        <v>67</v>
      </c>
      <c r="H175" t="s">
        <v>870</v>
      </c>
      <c r="I175">
        <v>6299</v>
      </c>
      <c r="J175">
        <v>1</v>
      </c>
      <c r="K175" t="s">
        <v>1647</v>
      </c>
      <c r="L175">
        <v>6299</v>
      </c>
      <c r="M175">
        <v>6299</v>
      </c>
      <c r="O175">
        <v>0</v>
      </c>
      <c r="P175">
        <v>0</v>
      </c>
      <c r="Q175" t="s">
        <v>60</v>
      </c>
      <c r="R175" t="s">
        <v>71</v>
      </c>
      <c r="S175" t="s">
        <v>101</v>
      </c>
      <c r="T175" t="s">
        <v>102</v>
      </c>
      <c r="U175" t="s">
        <v>47</v>
      </c>
      <c r="V175" s="4"/>
      <c r="W175" t="s">
        <v>1656</v>
      </c>
      <c r="X175" t="s">
        <v>1657</v>
      </c>
      <c r="Y175" t="s">
        <v>137</v>
      </c>
      <c r="Z175" t="s">
        <v>36</v>
      </c>
      <c r="AB175" s="4"/>
      <c r="AC175" t="s">
        <v>1656</v>
      </c>
      <c r="AD175" t="s">
        <v>1651</v>
      </c>
      <c r="AE175" t="s">
        <v>37</v>
      </c>
    </row>
    <row r="176" spans="1:31" x14ac:dyDescent="0.3">
      <c r="A176" t="s">
        <v>871</v>
      </c>
      <c r="B176" s="4">
        <v>45610</v>
      </c>
      <c r="C176" t="s">
        <v>1646</v>
      </c>
      <c r="D176" t="s">
        <v>872</v>
      </c>
      <c r="E176" t="s">
        <v>26</v>
      </c>
      <c r="F176" t="s">
        <v>873</v>
      </c>
      <c r="G176" t="s">
        <v>79</v>
      </c>
      <c r="H176" t="s">
        <v>874</v>
      </c>
      <c r="I176">
        <v>1599</v>
      </c>
      <c r="J176">
        <v>1</v>
      </c>
      <c r="K176" t="s">
        <v>1647</v>
      </c>
      <c r="L176">
        <v>1599</v>
      </c>
      <c r="M176">
        <v>1599</v>
      </c>
      <c r="O176">
        <v>0</v>
      </c>
      <c r="P176">
        <v>0</v>
      </c>
      <c r="Q176" t="s">
        <v>128</v>
      </c>
      <c r="R176" t="s">
        <v>31</v>
      </c>
      <c r="S176" t="s">
        <v>72</v>
      </c>
      <c r="T176" t="s">
        <v>73</v>
      </c>
      <c r="U176" t="s">
        <v>61</v>
      </c>
      <c r="V176" s="4">
        <v>45623</v>
      </c>
      <c r="W176" t="s">
        <v>1648</v>
      </c>
      <c r="X176" t="s">
        <v>1650</v>
      </c>
      <c r="Y176" t="s">
        <v>35</v>
      </c>
      <c r="Z176" t="s">
        <v>49</v>
      </c>
      <c r="AA176" t="s">
        <v>158</v>
      </c>
      <c r="AB176" s="4">
        <v>45652</v>
      </c>
      <c r="AC176" t="s">
        <v>1652</v>
      </c>
      <c r="AD176" t="s">
        <v>1653</v>
      </c>
      <c r="AE176" t="s">
        <v>52</v>
      </c>
    </row>
    <row r="177" spans="1:31" x14ac:dyDescent="0.3">
      <c r="A177" t="s">
        <v>875</v>
      </c>
      <c r="B177" s="4">
        <v>45610</v>
      </c>
      <c r="C177" t="s">
        <v>1646</v>
      </c>
      <c r="D177" t="s">
        <v>876</v>
      </c>
      <c r="E177" t="s">
        <v>26</v>
      </c>
      <c r="F177" t="s">
        <v>877</v>
      </c>
      <c r="G177" t="s">
        <v>28</v>
      </c>
      <c r="H177" t="s">
        <v>878</v>
      </c>
      <c r="I177">
        <v>1699</v>
      </c>
      <c r="J177">
        <v>1</v>
      </c>
      <c r="K177" t="s">
        <v>1647</v>
      </c>
      <c r="L177">
        <v>1699</v>
      </c>
      <c r="M177">
        <v>1699</v>
      </c>
      <c r="O177">
        <v>0</v>
      </c>
      <c r="P177">
        <v>0</v>
      </c>
      <c r="Q177" t="s">
        <v>30</v>
      </c>
      <c r="R177" t="s">
        <v>46</v>
      </c>
      <c r="S177" t="s">
        <v>86</v>
      </c>
      <c r="T177" t="s">
        <v>87</v>
      </c>
      <c r="U177" t="s">
        <v>61</v>
      </c>
      <c r="V177" s="4">
        <v>45624</v>
      </c>
      <c r="W177" t="s">
        <v>1648</v>
      </c>
      <c r="X177" t="s">
        <v>1650</v>
      </c>
      <c r="Y177" t="s">
        <v>35</v>
      </c>
      <c r="Z177" t="s">
        <v>36</v>
      </c>
      <c r="AB177" s="4"/>
      <c r="AC177" t="s">
        <v>1649</v>
      </c>
      <c r="AD177" t="s">
        <v>1651</v>
      </c>
      <c r="AE177" t="s">
        <v>37</v>
      </c>
    </row>
    <row r="178" spans="1:31" x14ac:dyDescent="0.3">
      <c r="A178" t="s">
        <v>879</v>
      </c>
      <c r="B178" s="4">
        <v>45610</v>
      </c>
      <c r="C178" t="s">
        <v>1646</v>
      </c>
      <c r="D178" t="s">
        <v>880</v>
      </c>
      <c r="E178" t="s">
        <v>26</v>
      </c>
      <c r="F178" t="s">
        <v>881</v>
      </c>
      <c r="G178" t="s">
        <v>42</v>
      </c>
      <c r="H178" t="s">
        <v>882</v>
      </c>
      <c r="I178">
        <v>3199</v>
      </c>
      <c r="J178">
        <v>1</v>
      </c>
      <c r="K178" t="s">
        <v>1647</v>
      </c>
      <c r="L178">
        <v>3199</v>
      </c>
      <c r="M178">
        <v>2719.15</v>
      </c>
      <c r="N178" t="s">
        <v>777</v>
      </c>
      <c r="O178">
        <v>15</v>
      </c>
      <c r="P178">
        <v>479.85</v>
      </c>
      <c r="Q178" t="s">
        <v>70</v>
      </c>
      <c r="R178" t="s">
        <v>71</v>
      </c>
      <c r="S178" t="s">
        <v>95</v>
      </c>
      <c r="T178" t="s">
        <v>33</v>
      </c>
      <c r="U178" t="s">
        <v>32</v>
      </c>
      <c r="V178" s="4">
        <v>45625</v>
      </c>
      <c r="W178" t="s">
        <v>1648</v>
      </c>
      <c r="X178" t="s">
        <v>1650</v>
      </c>
      <c r="Y178" t="s">
        <v>35</v>
      </c>
      <c r="Z178" t="s">
        <v>49</v>
      </c>
      <c r="AA178" t="s">
        <v>50</v>
      </c>
      <c r="AB178" s="4">
        <v>45654</v>
      </c>
      <c r="AC178" t="s">
        <v>1652</v>
      </c>
      <c r="AD178" t="s">
        <v>1653</v>
      </c>
      <c r="AE178" t="s">
        <v>52</v>
      </c>
    </row>
    <row r="179" spans="1:31" x14ac:dyDescent="0.3">
      <c r="A179" t="s">
        <v>885</v>
      </c>
      <c r="B179" s="4">
        <v>45611</v>
      </c>
      <c r="C179" t="s">
        <v>1646</v>
      </c>
      <c r="D179" t="s">
        <v>886</v>
      </c>
      <c r="E179" t="s">
        <v>40</v>
      </c>
      <c r="F179" t="s">
        <v>887</v>
      </c>
      <c r="G179" t="s">
        <v>58</v>
      </c>
      <c r="H179" t="s">
        <v>888</v>
      </c>
      <c r="I179">
        <v>2099</v>
      </c>
      <c r="J179">
        <v>1</v>
      </c>
      <c r="K179" t="s">
        <v>1647</v>
      </c>
      <c r="L179">
        <v>2099</v>
      </c>
      <c r="M179">
        <v>2099</v>
      </c>
      <c r="O179">
        <v>0</v>
      </c>
      <c r="P179">
        <v>0</v>
      </c>
      <c r="Q179" t="s">
        <v>45</v>
      </c>
      <c r="R179" t="s">
        <v>31</v>
      </c>
      <c r="S179" t="s">
        <v>108</v>
      </c>
      <c r="T179" t="s">
        <v>109</v>
      </c>
      <c r="U179" t="s">
        <v>32</v>
      </c>
      <c r="V179" s="4">
        <v>45624</v>
      </c>
      <c r="W179" t="s">
        <v>1648</v>
      </c>
      <c r="X179" t="s">
        <v>1650</v>
      </c>
      <c r="Y179" t="s">
        <v>35</v>
      </c>
      <c r="Z179" t="s">
        <v>36</v>
      </c>
      <c r="AB179" s="4"/>
      <c r="AC179" t="s">
        <v>1649</v>
      </c>
      <c r="AD179" t="s">
        <v>1651</v>
      </c>
      <c r="AE179" t="s">
        <v>37</v>
      </c>
    </row>
    <row r="180" spans="1:31" x14ac:dyDescent="0.3">
      <c r="A180" t="s">
        <v>889</v>
      </c>
      <c r="B180" s="4">
        <v>45611</v>
      </c>
      <c r="C180" t="s">
        <v>1646</v>
      </c>
      <c r="D180" t="s">
        <v>890</v>
      </c>
      <c r="E180" t="s">
        <v>26</v>
      </c>
      <c r="F180" t="s">
        <v>891</v>
      </c>
      <c r="G180" t="s">
        <v>67</v>
      </c>
      <c r="H180" t="s">
        <v>892</v>
      </c>
      <c r="I180">
        <v>6999</v>
      </c>
      <c r="J180">
        <v>1</v>
      </c>
      <c r="K180" t="s">
        <v>1647</v>
      </c>
      <c r="L180">
        <v>6999</v>
      </c>
      <c r="M180">
        <v>6999</v>
      </c>
      <c r="O180">
        <v>0</v>
      </c>
      <c r="P180">
        <v>0</v>
      </c>
      <c r="Q180" t="s">
        <v>30</v>
      </c>
      <c r="R180" t="s">
        <v>46</v>
      </c>
      <c r="S180" t="s">
        <v>116</v>
      </c>
      <c r="T180" t="s">
        <v>117</v>
      </c>
      <c r="U180" t="s">
        <v>47</v>
      </c>
      <c r="V180" s="4">
        <v>45626</v>
      </c>
      <c r="W180" t="s">
        <v>1648</v>
      </c>
      <c r="X180" t="s">
        <v>1650</v>
      </c>
      <c r="Y180" t="s">
        <v>35</v>
      </c>
      <c r="Z180" t="s">
        <v>49</v>
      </c>
      <c r="AA180" t="s">
        <v>119</v>
      </c>
      <c r="AB180" s="4">
        <v>45655</v>
      </c>
      <c r="AC180" t="s">
        <v>1652</v>
      </c>
      <c r="AD180" t="s">
        <v>1653</v>
      </c>
      <c r="AE180" t="s">
        <v>52</v>
      </c>
    </row>
    <row r="181" spans="1:31" x14ac:dyDescent="0.3">
      <c r="A181" t="s">
        <v>894</v>
      </c>
      <c r="B181" s="4">
        <v>45611</v>
      </c>
      <c r="C181" t="s">
        <v>1646</v>
      </c>
      <c r="D181" t="s">
        <v>895</v>
      </c>
      <c r="E181" t="s">
        <v>26</v>
      </c>
      <c r="F181" t="s">
        <v>896</v>
      </c>
      <c r="G181" t="s">
        <v>79</v>
      </c>
      <c r="H181" t="s">
        <v>897</v>
      </c>
      <c r="I181">
        <v>899</v>
      </c>
      <c r="J181">
        <v>1</v>
      </c>
      <c r="K181" t="s">
        <v>1647</v>
      </c>
      <c r="L181">
        <v>899</v>
      </c>
      <c r="M181">
        <v>899</v>
      </c>
      <c r="O181">
        <v>0</v>
      </c>
      <c r="P181">
        <v>0</v>
      </c>
      <c r="Q181" t="s">
        <v>60</v>
      </c>
      <c r="R181" t="s">
        <v>71</v>
      </c>
      <c r="S181" t="s">
        <v>129</v>
      </c>
      <c r="T181" t="s">
        <v>130</v>
      </c>
      <c r="U181" t="s">
        <v>47</v>
      </c>
      <c r="V181" s="4">
        <v>45624</v>
      </c>
      <c r="W181" t="s">
        <v>1648</v>
      </c>
      <c r="X181" t="s">
        <v>1650</v>
      </c>
      <c r="Y181" t="s">
        <v>35</v>
      </c>
      <c r="Z181" t="s">
        <v>49</v>
      </c>
      <c r="AA181" t="s">
        <v>89</v>
      </c>
      <c r="AB181" s="4">
        <v>45653</v>
      </c>
      <c r="AC181" t="s">
        <v>1652</v>
      </c>
      <c r="AD181" t="s">
        <v>1653</v>
      </c>
      <c r="AE181" t="s">
        <v>52</v>
      </c>
    </row>
    <row r="182" spans="1:31" x14ac:dyDescent="0.3">
      <c r="A182" t="s">
        <v>899</v>
      </c>
      <c r="B182" s="4">
        <v>45612</v>
      </c>
      <c r="C182" t="s">
        <v>1646</v>
      </c>
      <c r="D182" t="s">
        <v>900</v>
      </c>
      <c r="E182" t="s">
        <v>26</v>
      </c>
      <c r="F182" t="s">
        <v>901</v>
      </c>
      <c r="G182" t="s">
        <v>28</v>
      </c>
      <c r="H182" t="s">
        <v>902</v>
      </c>
      <c r="I182">
        <v>1499</v>
      </c>
      <c r="J182">
        <v>1</v>
      </c>
      <c r="K182" t="s">
        <v>1647</v>
      </c>
      <c r="L182">
        <v>1499</v>
      </c>
      <c r="M182">
        <v>1274.1500000000001</v>
      </c>
      <c r="N182" t="s">
        <v>777</v>
      </c>
      <c r="O182">
        <v>15</v>
      </c>
      <c r="P182">
        <v>224.85</v>
      </c>
      <c r="Q182" t="s">
        <v>128</v>
      </c>
      <c r="R182" t="s">
        <v>31</v>
      </c>
      <c r="S182" t="s">
        <v>61</v>
      </c>
      <c r="T182" t="s">
        <v>62</v>
      </c>
      <c r="U182" t="s">
        <v>61</v>
      </c>
      <c r="V182" s="4">
        <v>45625</v>
      </c>
      <c r="W182" t="s">
        <v>1648</v>
      </c>
      <c r="X182" t="s">
        <v>1650</v>
      </c>
      <c r="Y182" t="s">
        <v>35</v>
      </c>
      <c r="Z182" t="s">
        <v>36</v>
      </c>
      <c r="AB182" s="4"/>
      <c r="AC182" t="s">
        <v>1649</v>
      </c>
      <c r="AD182" t="s">
        <v>1651</v>
      </c>
      <c r="AE182" t="s">
        <v>37</v>
      </c>
    </row>
    <row r="183" spans="1:31" x14ac:dyDescent="0.3">
      <c r="A183" t="s">
        <v>903</v>
      </c>
      <c r="B183" s="4">
        <v>45612</v>
      </c>
      <c r="C183" t="s">
        <v>1646</v>
      </c>
      <c r="D183" t="s">
        <v>904</v>
      </c>
      <c r="E183" t="s">
        <v>26</v>
      </c>
      <c r="F183" t="s">
        <v>905</v>
      </c>
      <c r="G183" t="s">
        <v>42</v>
      </c>
      <c r="H183" t="s">
        <v>906</v>
      </c>
      <c r="I183">
        <v>2999</v>
      </c>
      <c r="J183">
        <v>1</v>
      </c>
      <c r="K183" t="s">
        <v>1647</v>
      </c>
      <c r="L183">
        <v>2999</v>
      </c>
      <c r="M183">
        <v>2999</v>
      </c>
      <c r="O183">
        <v>0</v>
      </c>
      <c r="P183">
        <v>0</v>
      </c>
      <c r="Q183" t="s">
        <v>70</v>
      </c>
      <c r="R183" t="s">
        <v>46</v>
      </c>
      <c r="S183" t="s">
        <v>32</v>
      </c>
      <c r="T183" t="s">
        <v>33</v>
      </c>
      <c r="U183" t="s">
        <v>32</v>
      </c>
      <c r="V183" s="4">
        <v>45627</v>
      </c>
      <c r="W183" t="s">
        <v>1648</v>
      </c>
      <c r="X183" t="s">
        <v>1650</v>
      </c>
      <c r="Y183" t="s">
        <v>35</v>
      </c>
      <c r="Z183" t="s">
        <v>49</v>
      </c>
      <c r="AA183" t="s">
        <v>75</v>
      </c>
      <c r="AB183" s="4">
        <v>45656</v>
      </c>
      <c r="AC183" t="s">
        <v>1652</v>
      </c>
      <c r="AD183" t="s">
        <v>1653</v>
      </c>
      <c r="AE183" t="s">
        <v>52</v>
      </c>
    </row>
    <row r="184" spans="1:31" x14ac:dyDescent="0.3">
      <c r="A184" t="s">
        <v>908</v>
      </c>
      <c r="B184" s="4">
        <v>45612</v>
      </c>
      <c r="C184" t="s">
        <v>1646</v>
      </c>
      <c r="D184" t="s">
        <v>909</v>
      </c>
      <c r="E184" t="s">
        <v>40</v>
      </c>
      <c r="F184" t="s">
        <v>910</v>
      </c>
      <c r="G184" t="s">
        <v>58</v>
      </c>
      <c r="H184" t="s">
        <v>911</v>
      </c>
      <c r="I184">
        <v>1899</v>
      </c>
      <c r="J184">
        <v>1</v>
      </c>
      <c r="K184" t="s">
        <v>1647</v>
      </c>
      <c r="L184">
        <v>1899</v>
      </c>
      <c r="M184">
        <v>1899</v>
      </c>
      <c r="O184">
        <v>0</v>
      </c>
      <c r="P184">
        <v>0</v>
      </c>
      <c r="Q184" t="s">
        <v>45</v>
      </c>
      <c r="R184" t="s">
        <v>71</v>
      </c>
      <c r="S184" t="s">
        <v>47</v>
      </c>
      <c r="T184" t="s">
        <v>47</v>
      </c>
      <c r="U184" t="s">
        <v>47</v>
      </c>
      <c r="V184" s="4">
        <v>45625</v>
      </c>
      <c r="W184" t="s">
        <v>1648</v>
      </c>
      <c r="X184" t="s">
        <v>1650</v>
      </c>
      <c r="Y184" t="s">
        <v>35</v>
      </c>
      <c r="Z184" t="s">
        <v>36</v>
      </c>
      <c r="AB184" s="4"/>
      <c r="AC184" t="s">
        <v>1649</v>
      </c>
      <c r="AD184" t="s">
        <v>1651</v>
      </c>
      <c r="AE184" t="s">
        <v>37</v>
      </c>
    </row>
    <row r="185" spans="1:31" x14ac:dyDescent="0.3">
      <c r="A185" t="s">
        <v>912</v>
      </c>
      <c r="B185" s="4">
        <v>45613</v>
      </c>
      <c r="C185" t="s">
        <v>1646</v>
      </c>
      <c r="D185" t="s">
        <v>913</v>
      </c>
      <c r="E185" t="s">
        <v>26</v>
      </c>
      <c r="F185" t="s">
        <v>914</v>
      </c>
      <c r="G185" t="s">
        <v>67</v>
      </c>
      <c r="H185" t="s">
        <v>915</v>
      </c>
      <c r="I185">
        <v>7499</v>
      </c>
      <c r="J185">
        <v>1</v>
      </c>
      <c r="K185" t="s">
        <v>1647</v>
      </c>
      <c r="L185">
        <v>7499</v>
      </c>
      <c r="M185">
        <v>7499</v>
      </c>
      <c r="O185">
        <v>0</v>
      </c>
      <c r="P185">
        <v>0</v>
      </c>
      <c r="Q185" t="s">
        <v>30</v>
      </c>
      <c r="R185" t="s">
        <v>31</v>
      </c>
      <c r="S185" t="s">
        <v>135</v>
      </c>
      <c r="T185" t="s">
        <v>136</v>
      </c>
      <c r="U185" t="s">
        <v>47</v>
      </c>
      <c r="V185" s="4">
        <v>45628</v>
      </c>
      <c r="W185" t="s">
        <v>1648</v>
      </c>
      <c r="X185" t="s">
        <v>1650</v>
      </c>
      <c r="Y185" t="s">
        <v>35</v>
      </c>
      <c r="Z185" t="s">
        <v>49</v>
      </c>
      <c r="AA185" t="s">
        <v>50</v>
      </c>
      <c r="AB185" s="4">
        <v>45657</v>
      </c>
      <c r="AC185" t="s">
        <v>1652</v>
      </c>
      <c r="AD185" t="s">
        <v>1653</v>
      </c>
      <c r="AE185" t="s">
        <v>52</v>
      </c>
    </row>
    <row r="186" spans="1:31" x14ac:dyDescent="0.3">
      <c r="A186" t="s">
        <v>917</v>
      </c>
      <c r="B186" s="4">
        <v>45613</v>
      </c>
      <c r="C186" t="s">
        <v>1646</v>
      </c>
      <c r="D186" t="s">
        <v>918</v>
      </c>
      <c r="E186" t="s">
        <v>26</v>
      </c>
      <c r="F186" t="s">
        <v>919</v>
      </c>
      <c r="G186" t="s">
        <v>79</v>
      </c>
      <c r="H186" t="s">
        <v>920</v>
      </c>
      <c r="I186">
        <v>1299</v>
      </c>
      <c r="J186">
        <v>1</v>
      </c>
      <c r="K186" t="s">
        <v>1647</v>
      </c>
      <c r="L186">
        <v>1299</v>
      </c>
      <c r="M186">
        <v>1104.1500000000001</v>
      </c>
      <c r="N186" t="s">
        <v>777</v>
      </c>
      <c r="O186">
        <v>15</v>
      </c>
      <c r="P186">
        <v>194.85</v>
      </c>
      <c r="Q186" t="s">
        <v>60</v>
      </c>
      <c r="R186" t="s">
        <v>46</v>
      </c>
      <c r="S186" t="s">
        <v>156</v>
      </c>
      <c r="T186" t="s">
        <v>130</v>
      </c>
      <c r="U186" t="s">
        <v>47</v>
      </c>
      <c r="V186" s="4">
        <v>45626</v>
      </c>
      <c r="W186" t="s">
        <v>1648</v>
      </c>
      <c r="X186" t="s">
        <v>1650</v>
      </c>
      <c r="Y186" t="s">
        <v>35</v>
      </c>
      <c r="Z186" t="s">
        <v>36</v>
      </c>
      <c r="AB186" s="4"/>
      <c r="AC186" t="s">
        <v>1649</v>
      </c>
      <c r="AD186" t="s">
        <v>1651</v>
      </c>
      <c r="AE186" t="s">
        <v>37</v>
      </c>
    </row>
    <row r="187" spans="1:31" x14ac:dyDescent="0.3">
      <c r="A187" t="s">
        <v>921</v>
      </c>
      <c r="B187" s="4">
        <v>45613</v>
      </c>
      <c r="C187" t="s">
        <v>1646</v>
      </c>
      <c r="D187" t="s">
        <v>922</v>
      </c>
      <c r="E187" t="s">
        <v>26</v>
      </c>
      <c r="F187" t="s">
        <v>923</v>
      </c>
      <c r="G187" t="s">
        <v>28</v>
      </c>
      <c r="H187" t="s">
        <v>924</v>
      </c>
      <c r="I187">
        <v>1599</v>
      </c>
      <c r="J187">
        <v>1</v>
      </c>
      <c r="K187" t="s">
        <v>1647</v>
      </c>
      <c r="L187">
        <v>1599</v>
      </c>
      <c r="M187">
        <v>1599</v>
      </c>
      <c r="O187">
        <v>0</v>
      </c>
      <c r="P187">
        <v>0</v>
      </c>
      <c r="Q187" t="s">
        <v>45</v>
      </c>
      <c r="R187" t="s">
        <v>71</v>
      </c>
      <c r="S187" t="s">
        <v>164</v>
      </c>
      <c r="T187" t="s">
        <v>165</v>
      </c>
      <c r="U187" t="s">
        <v>47</v>
      </c>
      <c r="V187" s="4">
        <v>45627</v>
      </c>
      <c r="W187" t="s">
        <v>1648</v>
      </c>
      <c r="X187" t="s">
        <v>1650</v>
      </c>
      <c r="Y187" t="s">
        <v>35</v>
      </c>
      <c r="Z187" t="s">
        <v>49</v>
      </c>
      <c r="AA187" t="s">
        <v>158</v>
      </c>
      <c r="AB187" s="4">
        <v>45655</v>
      </c>
      <c r="AC187" t="s">
        <v>1652</v>
      </c>
      <c r="AD187" t="s">
        <v>1653</v>
      </c>
      <c r="AE187" t="s">
        <v>52</v>
      </c>
    </row>
    <row r="188" spans="1:31" x14ac:dyDescent="0.3">
      <c r="A188" t="s">
        <v>925</v>
      </c>
      <c r="B188" s="4">
        <v>45614</v>
      </c>
      <c r="C188" t="s">
        <v>1646</v>
      </c>
      <c r="D188" t="s">
        <v>926</v>
      </c>
      <c r="E188" t="s">
        <v>26</v>
      </c>
      <c r="F188" t="s">
        <v>927</v>
      </c>
      <c r="G188" t="s">
        <v>42</v>
      </c>
      <c r="H188" t="s">
        <v>928</v>
      </c>
      <c r="I188">
        <v>3799</v>
      </c>
      <c r="J188">
        <v>1</v>
      </c>
      <c r="K188" t="s">
        <v>1647</v>
      </c>
      <c r="L188">
        <v>3799</v>
      </c>
      <c r="M188">
        <v>3799</v>
      </c>
      <c r="O188">
        <v>0</v>
      </c>
      <c r="P188">
        <v>0</v>
      </c>
      <c r="Q188" t="s">
        <v>128</v>
      </c>
      <c r="R188" t="s">
        <v>31</v>
      </c>
      <c r="S188" t="s">
        <v>171</v>
      </c>
      <c r="T188" t="s">
        <v>172</v>
      </c>
      <c r="U188" t="s">
        <v>32</v>
      </c>
      <c r="V188" s="4">
        <v>45629</v>
      </c>
      <c r="W188" t="s">
        <v>1648</v>
      </c>
      <c r="X188" t="s">
        <v>1650</v>
      </c>
      <c r="Y188" t="s">
        <v>35</v>
      </c>
      <c r="Z188" t="s">
        <v>36</v>
      </c>
      <c r="AB188" s="4"/>
      <c r="AC188" t="s">
        <v>1649</v>
      </c>
      <c r="AD188" t="s">
        <v>1651</v>
      </c>
      <c r="AE188" t="s">
        <v>37</v>
      </c>
    </row>
    <row r="189" spans="1:31" x14ac:dyDescent="0.3">
      <c r="A189" t="s">
        <v>929</v>
      </c>
      <c r="B189" s="4">
        <v>45614</v>
      </c>
      <c r="C189" t="s">
        <v>1646</v>
      </c>
      <c r="D189" t="s">
        <v>930</v>
      </c>
      <c r="E189" t="s">
        <v>40</v>
      </c>
      <c r="F189" t="s">
        <v>931</v>
      </c>
      <c r="G189" t="s">
        <v>58</v>
      </c>
      <c r="H189" t="s">
        <v>932</v>
      </c>
      <c r="I189">
        <v>2299</v>
      </c>
      <c r="J189">
        <v>1</v>
      </c>
      <c r="K189" t="s">
        <v>1647</v>
      </c>
      <c r="L189">
        <v>2299</v>
      </c>
      <c r="M189">
        <v>2299</v>
      </c>
      <c r="O189">
        <v>0</v>
      </c>
      <c r="P189">
        <v>0</v>
      </c>
      <c r="Q189" t="s">
        <v>30</v>
      </c>
      <c r="R189" t="s">
        <v>46</v>
      </c>
      <c r="S189" t="s">
        <v>177</v>
      </c>
      <c r="T189" t="s">
        <v>109</v>
      </c>
      <c r="U189" t="s">
        <v>32</v>
      </c>
      <c r="V189" s="4">
        <v>45627</v>
      </c>
      <c r="W189" t="s">
        <v>1648</v>
      </c>
      <c r="X189" t="s">
        <v>1650</v>
      </c>
      <c r="Y189" t="s">
        <v>35</v>
      </c>
      <c r="Z189" t="s">
        <v>49</v>
      </c>
      <c r="AA189" t="s">
        <v>50</v>
      </c>
      <c r="AB189" s="4">
        <v>45656</v>
      </c>
      <c r="AC189" t="s">
        <v>1652</v>
      </c>
      <c r="AD189" t="s">
        <v>1653</v>
      </c>
      <c r="AE189" t="s">
        <v>52</v>
      </c>
    </row>
    <row r="190" spans="1:31" x14ac:dyDescent="0.3">
      <c r="A190" t="s">
        <v>933</v>
      </c>
      <c r="B190" s="4">
        <v>45614</v>
      </c>
      <c r="C190" t="s">
        <v>1646</v>
      </c>
      <c r="D190" t="s">
        <v>934</v>
      </c>
      <c r="E190" t="s">
        <v>26</v>
      </c>
      <c r="F190" t="s">
        <v>935</v>
      </c>
      <c r="G190" t="s">
        <v>67</v>
      </c>
      <c r="H190" t="s">
        <v>936</v>
      </c>
      <c r="I190">
        <v>5999</v>
      </c>
      <c r="J190">
        <v>1</v>
      </c>
      <c r="K190" t="s">
        <v>1647</v>
      </c>
      <c r="L190">
        <v>5999</v>
      </c>
      <c r="M190">
        <v>5099.1499999999996</v>
      </c>
      <c r="N190" t="s">
        <v>777</v>
      </c>
      <c r="O190">
        <v>15</v>
      </c>
      <c r="P190">
        <v>899.85</v>
      </c>
      <c r="Q190" t="s">
        <v>70</v>
      </c>
      <c r="R190" t="s">
        <v>71</v>
      </c>
      <c r="S190" t="s">
        <v>184</v>
      </c>
      <c r="T190" t="s">
        <v>185</v>
      </c>
      <c r="U190" t="s">
        <v>47</v>
      </c>
      <c r="V190" s="4">
        <v>45630</v>
      </c>
      <c r="W190" t="s">
        <v>1648</v>
      </c>
      <c r="X190" t="s">
        <v>1650</v>
      </c>
      <c r="Y190" t="s">
        <v>35</v>
      </c>
      <c r="Z190" t="s">
        <v>49</v>
      </c>
      <c r="AA190" t="s">
        <v>119</v>
      </c>
      <c r="AB190" s="4">
        <v>45659</v>
      </c>
      <c r="AC190" t="s">
        <v>1652</v>
      </c>
      <c r="AD190" t="s">
        <v>1653</v>
      </c>
      <c r="AE190" t="s">
        <v>52</v>
      </c>
    </row>
    <row r="191" spans="1:31" x14ac:dyDescent="0.3">
      <c r="A191" t="s">
        <v>938</v>
      </c>
      <c r="B191" s="4">
        <v>45615</v>
      </c>
      <c r="C191" t="s">
        <v>1646</v>
      </c>
      <c r="D191" t="s">
        <v>939</v>
      </c>
      <c r="E191" t="s">
        <v>26</v>
      </c>
      <c r="F191" t="s">
        <v>940</v>
      </c>
      <c r="G191" t="s">
        <v>79</v>
      </c>
      <c r="H191" t="s">
        <v>941</v>
      </c>
      <c r="I191">
        <v>499</v>
      </c>
      <c r="J191">
        <v>2</v>
      </c>
      <c r="K191" t="s">
        <v>1647</v>
      </c>
      <c r="L191">
        <v>998</v>
      </c>
      <c r="M191">
        <v>998</v>
      </c>
      <c r="O191">
        <v>0</v>
      </c>
      <c r="P191">
        <v>0</v>
      </c>
      <c r="Q191" t="s">
        <v>45</v>
      </c>
      <c r="R191" t="s">
        <v>31</v>
      </c>
      <c r="S191" t="s">
        <v>190</v>
      </c>
      <c r="T191" t="s">
        <v>172</v>
      </c>
      <c r="U191" t="s">
        <v>32</v>
      </c>
      <c r="V191" s="4">
        <v>45628</v>
      </c>
      <c r="W191" t="s">
        <v>1648</v>
      </c>
      <c r="X191" t="s">
        <v>1650</v>
      </c>
      <c r="Y191" t="s">
        <v>35</v>
      </c>
      <c r="Z191" t="s">
        <v>36</v>
      </c>
      <c r="AB191" s="4"/>
      <c r="AC191" t="s">
        <v>1649</v>
      </c>
      <c r="AD191" t="s">
        <v>1651</v>
      </c>
      <c r="AE191" t="s">
        <v>37</v>
      </c>
    </row>
    <row r="192" spans="1:31" x14ac:dyDescent="0.3">
      <c r="A192" t="s">
        <v>942</v>
      </c>
      <c r="B192" s="4">
        <v>45615</v>
      </c>
      <c r="C192" t="s">
        <v>1646</v>
      </c>
      <c r="D192" t="s">
        <v>943</v>
      </c>
      <c r="E192" t="s">
        <v>26</v>
      </c>
      <c r="F192" t="s">
        <v>944</v>
      </c>
      <c r="G192" t="s">
        <v>28</v>
      </c>
      <c r="H192" t="s">
        <v>945</v>
      </c>
      <c r="I192">
        <v>1799</v>
      </c>
      <c r="J192">
        <v>1</v>
      </c>
      <c r="K192" t="s">
        <v>1647</v>
      </c>
      <c r="L192">
        <v>1799</v>
      </c>
      <c r="M192">
        <v>1799</v>
      </c>
      <c r="O192">
        <v>0</v>
      </c>
      <c r="P192">
        <v>0</v>
      </c>
      <c r="Q192" t="s">
        <v>60</v>
      </c>
      <c r="R192" t="s">
        <v>46</v>
      </c>
      <c r="S192" t="s">
        <v>195</v>
      </c>
      <c r="T192" t="s">
        <v>33</v>
      </c>
      <c r="U192" t="s">
        <v>32</v>
      </c>
      <c r="V192" s="4"/>
      <c r="W192" t="s">
        <v>1656</v>
      </c>
      <c r="X192" t="s">
        <v>1657</v>
      </c>
      <c r="Y192" t="s">
        <v>137</v>
      </c>
      <c r="Z192" t="s">
        <v>36</v>
      </c>
      <c r="AB192" s="4"/>
      <c r="AC192" t="s">
        <v>1656</v>
      </c>
      <c r="AD192" t="s">
        <v>1651</v>
      </c>
      <c r="AE192" t="s">
        <v>37</v>
      </c>
    </row>
    <row r="193" spans="1:31" x14ac:dyDescent="0.3">
      <c r="A193" t="s">
        <v>946</v>
      </c>
      <c r="B193" s="4">
        <v>45615</v>
      </c>
      <c r="C193" t="s">
        <v>1646</v>
      </c>
      <c r="D193" t="s">
        <v>947</v>
      </c>
      <c r="E193" t="s">
        <v>26</v>
      </c>
      <c r="F193" t="s">
        <v>948</v>
      </c>
      <c r="G193" t="s">
        <v>42</v>
      </c>
      <c r="H193" t="s">
        <v>949</v>
      </c>
      <c r="I193">
        <v>2999</v>
      </c>
      <c r="J193">
        <v>1</v>
      </c>
      <c r="K193" t="s">
        <v>1647</v>
      </c>
      <c r="L193">
        <v>2999</v>
      </c>
      <c r="M193">
        <v>2999</v>
      </c>
      <c r="O193">
        <v>0</v>
      </c>
      <c r="P193">
        <v>0</v>
      </c>
      <c r="Q193" t="s">
        <v>30</v>
      </c>
      <c r="R193" t="s">
        <v>71</v>
      </c>
      <c r="S193" t="s">
        <v>202</v>
      </c>
      <c r="T193" t="s">
        <v>73</v>
      </c>
      <c r="U193" t="s">
        <v>61</v>
      </c>
      <c r="V193" s="4">
        <v>45631</v>
      </c>
      <c r="W193" t="s">
        <v>1648</v>
      </c>
      <c r="X193" t="s">
        <v>1650</v>
      </c>
      <c r="Y193" t="s">
        <v>35</v>
      </c>
      <c r="Z193" t="s">
        <v>49</v>
      </c>
      <c r="AA193" t="s">
        <v>89</v>
      </c>
      <c r="AB193" s="4">
        <v>45660</v>
      </c>
      <c r="AC193" t="s">
        <v>1652</v>
      </c>
      <c r="AD193" t="s">
        <v>1653</v>
      </c>
      <c r="AE193" t="s">
        <v>52</v>
      </c>
    </row>
    <row r="194" spans="1:31" x14ac:dyDescent="0.3">
      <c r="A194" t="s">
        <v>951</v>
      </c>
      <c r="B194" s="4">
        <v>45616</v>
      </c>
      <c r="C194" t="s">
        <v>1646</v>
      </c>
      <c r="D194" t="s">
        <v>952</v>
      </c>
      <c r="E194" t="s">
        <v>40</v>
      </c>
      <c r="F194" t="s">
        <v>953</v>
      </c>
      <c r="G194" t="s">
        <v>58</v>
      </c>
      <c r="H194" t="s">
        <v>954</v>
      </c>
      <c r="I194">
        <v>2199</v>
      </c>
      <c r="J194">
        <v>1</v>
      </c>
      <c r="K194" t="s">
        <v>1647</v>
      </c>
      <c r="L194">
        <v>2199</v>
      </c>
      <c r="M194">
        <v>1869.15</v>
      </c>
      <c r="N194" t="s">
        <v>777</v>
      </c>
      <c r="O194">
        <v>15</v>
      </c>
      <c r="P194">
        <v>329.85</v>
      </c>
      <c r="Q194" t="s">
        <v>128</v>
      </c>
      <c r="R194" t="s">
        <v>31</v>
      </c>
      <c r="S194" t="s">
        <v>208</v>
      </c>
      <c r="T194" t="s">
        <v>209</v>
      </c>
      <c r="U194" t="s">
        <v>61</v>
      </c>
      <c r="V194" s="4">
        <v>45629</v>
      </c>
      <c r="W194" t="s">
        <v>1648</v>
      </c>
      <c r="X194" t="s">
        <v>1650</v>
      </c>
      <c r="Y194" t="s">
        <v>35</v>
      </c>
      <c r="Z194" t="s">
        <v>36</v>
      </c>
      <c r="AB194" s="4"/>
      <c r="AC194" t="s">
        <v>1649</v>
      </c>
      <c r="AD194" t="s">
        <v>1651</v>
      </c>
      <c r="AE194" t="s">
        <v>37</v>
      </c>
    </row>
    <row r="195" spans="1:31" x14ac:dyDescent="0.3">
      <c r="A195" t="s">
        <v>955</v>
      </c>
      <c r="B195" s="4">
        <v>45616</v>
      </c>
      <c r="C195" t="s">
        <v>1646</v>
      </c>
      <c r="D195" t="s">
        <v>956</v>
      </c>
      <c r="E195" t="s">
        <v>26</v>
      </c>
      <c r="F195" t="s">
        <v>957</v>
      </c>
      <c r="G195" t="s">
        <v>67</v>
      </c>
      <c r="H195" t="s">
        <v>958</v>
      </c>
      <c r="I195">
        <v>4899</v>
      </c>
      <c r="J195">
        <v>1</v>
      </c>
      <c r="K195" t="s">
        <v>1647</v>
      </c>
      <c r="L195">
        <v>4899</v>
      </c>
      <c r="M195">
        <v>4899</v>
      </c>
      <c r="O195">
        <v>0</v>
      </c>
      <c r="P195">
        <v>0</v>
      </c>
      <c r="Q195" t="s">
        <v>70</v>
      </c>
      <c r="R195" t="s">
        <v>46</v>
      </c>
      <c r="S195" t="s">
        <v>215</v>
      </c>
      <c r="T195" t="s">
        <v>216</v>
      </c>
      <c r="U195" t="s">
        <v>61</v>
      </c>
      <c r="V195" s="4">
        <v>45632</v>
      </c>
      <c r="W195" t="s">
        <v>1648</v>
      </c>
      <c r="X195" t="s">
        <v>1650</v>
      </c>
      <c r="Y195" t="s">
        <v>35</v>
      </c>
      <c r="Z195" t="s">
        <v>49</v>
      </c>
      <c r="AA195" t="s">
        <v>75</v>
      </c>
      <c r="AB195" s="4">
        <v>45661</v>
      </c>
      <c r="AC195" t="s">
        <v>1652</v>
      </c>
      <c r="AD195" t="s">
        <v>1653</v>
      </c>
      <c r="AE195" t="s">
        <v>52</v>
      </c>
    </row>
    <row r="196" spans="1:31" x14ac:dyDescent="0.3">
      <c r="A196" t="s">
        <v>960</v>
      </c>
      <c r="B196" s="4">
        <v>45616</v>
      </c>
      <c r="C196" t="s">
        <v>1646</v>
      </c>
      <c r="D196" t="s">
        <v>961</v>
      </c>
      <c r="E196" t="s">
        <v>26</v>
      </c>
      <c r="F196" t="s">
        <v>962</v>
      </c>
      <c r="G196" t="s">
        <v>79</v>
      </c>
      <c r="H196" t="s">
        <v>963</v>
      </c>
      <c r="I196">
        <v>799</v>
      </c>
      <c r="J196">
        <v>1</v>
      </c>
      <c r="K196" t="s">
        <v>1647</v>
      </c>
      <c r="L196">
        <v>799</v>
      </c>
      <c r="M196">
        <v>799</v>
      </c>
      <c r="O196">
        <v>0</v>
      </c>
      <c r="P196">
        <v>0</v>
      </c>
      <c r="Q196" t="s">
        <v>45</v>
      </c>
      <c r="R196" t="s">
        <v>71</v>
      </c>
      <c r="S196" t="s">
        <v>221</v>
      </c>
      <c r="T196" t="s">
        <v>209</v>
      </c>
      <c r="U196" t="s">
        <v>61</v>
      </c>
      <c r="V196" s="4">
        <v>45630</v>
      </c>
      <c r="W196" t="s">
        <v>1648</v>
      </c>
      <c r="X196" t="s">
        <v>1650</v>
      </c>
      <c r="Y196" t="s">
        <v>35</v>
      </c>
      <c r="Z196" t="s">
        <v>36</v>
      </c>
      <c r="AB196" s="4"/>
      <c r="AC196" t="s">
        <v>1649</v>
      </c>
      <c r="AD196" t="s">
        <v>1651</v>
      </c>
      <c r="AE196" t="s">
        <v>37</v>
      </c>
    </row>
    <row r="197" spans="1:31" x14ac:dyDescent="0.3">
      <c r="A197" t="s">
        <v>964</v>
      </c>
      <c r="B197" s="4">
        <v>45617</v>
      </c>
      <c r="C197" t="s">
        <v>1646</v>
      </c>
      <c r="D197" t="s">
        <v>965</v>
      </c>
      <c r="E197" t="s">
        <v>26</v>
      </c>
      <c r="F197" t="s">
        <v>966</v>
      </c>
      <c r="G197" t="s">
        <v>28</v>
      </c>
      <c r="H197" t="s">
        <v>967</v>
      </c>
      <c r="I197">
        <v>1999</v>
      </c>
      <c r="J197">
        <v>1</v>
      </c>
      <c r="K197" t="s">
        <v>1647</v>
      </c>
      <c r="L197">
        <v>1999</v>
      </c>
      <c r="M197">
        <v>1999</v>
      </c>
      <c r="O197">
        <v>0</v>
      </c>
      <c r="P197">
        <v>0</v>
      </c>
      <c r="Q197" t="s">
        <v>30</v>
      </c>
      <c r="R197" t="s">
        <v>31</v>
      </c>
      <c r="S197" t="s">
        <v>226</v>
      </c>
      <c r="T197" t="s">
        <v>62</v>
      </c>
      <c r="U197" t="s">
        <v>61</v>
      </c>
      <c r="V197" s="4">
        <v>45631</v>
      </c>
      <c r="W197" t="s">
        <v>1648</v>
      </c>
      <c r="X197" t="s">
        <v>1650</v>
      </c>
      <c r="Y197" t="s">
        <v>35</v>
      </c>
      <c r="Z197" t="s">
        <v>49</v>
      </c>
      <c r="AA197" t="s">
        <v>50</v>
      </c>
      <c r="AB197" s="4">
        <v>45660</v>
      </c>
      <c r="AC197" t="s">
        <v>1652</v>
      </c>
      <c r="AD197" t="s">
        <v>1653</v>
      </c>
      <c r="AE197" t="s">
        <v>52</v>
      </c>
    </row>
    <row r="198" spans="1:31" x14ac:dyDescent="0.3">
      <c r="A198" t="s">
        <v>968</v>
      </c>
      <c r="B198" s="4">
        <v>45617</v>
      </c>
      <c r="C198" t="s">
        <v>1646</v>
      </c>
      <c r="D198" t="s">
        <v>969</v>
      </c>
      <c r="E198" t="s">
        <v>26</v>
      </c>
      <c r="F198" t="s">
        <v>970</v>
      </c>
      <c r="G198" t="s">
        <v>42</v>
      </c>
      <c r="H198" t="s">
        <v>971</v>
      </c>
      <c r="I198">
        <v>3499</v>
      </c>
      <c r="J198">
        <v>1</v>
      </c>
      <c r="K198" t="s">
        <v>1647</v>
      </c>
      <c r="L198">
        <v>3499</v>
      </c>
      <c r="M198">
        <v>2974.15</v>
      </c>
      <c r="N198" t="s">
        <v>777</v>
      </c>
      <c r="O198">
        <v>15</v>
      </c>
      <c r="P198">
        <v>524.85</v>
      </c>
      <c r="Q198" t="s">
        <v>60</v>
      </c>
      <c r="R198" t="s">
        <v>46</v>
      </c>
      <c r="S198" t="s">
        <v>233</v>
      </c>
      <c r="T198" t="s">
        <v>109</v>
      </c>
      <c r="U198" t="s">
        <v>32</v>
      </c>
      <c r="V198" s="4">
        <v>45633</v>
      </c>
      <c r="W198" t="s">
        <v>1648</v>
      </c>
      <c r="X198" t="s">
        <v>1650</v>
      </c>
      <c r="Y198" t="s">
        <v>35</v>
      </c>
      <c r="Z198" t="s">
        <v>49</v>
      </c>
      <c r="AA198" t="s">
        <v>119</v>
      </c>
      <c r="AB198" s="4">
        <v>45662</v>
      </c>
      <c r="AC198" t="s">
        <v>1652</v>
      </c>
      <c r="AD198" t="s">
        <v>1653</v>
      </c>
      <c r="AE198" t="s">
        <v>52</v>
      </c>
    </row>
    <row r="199" spans="1:31" x14ac:dyDescent="0.3">
      <c r="A199" t="s">
        <v>973</v>
      </c>
      <c r="B199" s="4">
        <v>45617</v>
      </c>
      <c r="C199" t="s">
        <v>1646</v>
      </c>
      <c r="D199" t="s">
        <v>974</v>
      </c>
      <c r="E199" t="s">
        <v>40</v>
      </c>
      <c r="F199" t="s">
        <v>975</v>
      </c>
      <c r="G199" t="s">
        <v>58</v>
      </c>
      <c r="H199" t="s">
        <v>976</v>
      </c>
      <c r="I199">
        <v>2599</v>
      </c>
      <c r="J199">
        <v>1</v>
      </c>
      <c r="K199" t="s">
        <v>1647</v>
      </c>
      <c r="L199">
        <v>2599</v>
      </c>
      <c r="M199">
        <v>2599</v>
      </c>
      <c r="O199">
        <v>0</v>
      </c>
      <c r="P199">
        <v>0</v>
      </c>
      <c r="Q199" t="s">
        <v>45</v>
      </c>
      <c r="R199" t="s">
        <v>71</v>
      </c>
      <c r="S199" t="s">
        <v>238</v>
      </c>
      <c r="T199" t="s">
        <v>109</v>
      </c>
      <c r="U199" t="s">
        <v>32</v>
      </c>
      <c r="V199" s="4">
        <v>45631</v>
      </c>
      <c r="W199" t="s">
        <v>1648</v>
      </c>
      <c r="X199" t="s">
        <v>1650</v>
      </c>
      <c r="Y199" t="s">
        <v>35</v>
      </c>
      <c r="Z199" t="s">
        <v>36</v>
      </c>
      <c r="AB199" s="4"/>
      <c r="AC199" t="s">
        <v>1649</v>
      </c>
      <c r="AD199" t="s">
        <v>1651</v>
      </c>
      <c r="AE199" t="s">
        <v>37</v>
      </c>
    </row>
    <row r="200" spans="1:31" x14ac:dyDescent="0.3">
      <c r="A200" t="s">
        <v>977</v>
      </c>
      <c r="B200" s="4">
        <v>45618</v>
      </c>
      <c r="C200" t="s">
        <v>1646</v>
      </c>
      <c r="D200" t="s">
        <v>978</v>
      </c>
      <c r="E200" t="s">
        <v>26</v>
      </c>
      <c r="F200" t="s">
        <v>979</v>
      </c>
      <c r="G200" t="s">
        <v>67</v>
      </c>
      <c r="H200" t="s">
        <v>980</v>
      </c>
      <c r="I200">
        <v>5499</v>
      </c>
      <c r="J200">
        <v>1</v>
      </c>
      <c r="K200" t="s">
        <v>1647</v>
      </c>
      <c r="L200">
        <v>5499</v>
      </c>
      <c r="M200">
        <v>5499</v>
      </c>
      <c r="O200">
        <v>0</v>
      </c>
      <c r="P200">
        <v>0</v>
      </c>
      <c r="Q200" t="s">
        <v>128</v>
      </c>
      <c r="R200" t="s">
        <v>31</v>
      </c>
      <c r="S200" t="s">
        <v>243</v>
      </c>
      <c r="T200" t="s">
        <v>130</v>
      </c>
      <c r="U200" t="s">
        <v>47</v>
      </c>
      <c r="V200" s="4">
        <v>45634</v>
      </c>
      <c r="W200" t="s">
        <v>1648</v>
      </c>
      <c r="X200" t="s">
        <v>1650</v>
      </c>
      <c r="Y200" t="s">
        <v>35</v>
      </c>
      <c r="Z200" t="s">
        <v>49</v>
      </c>
      <c r="AA200" t="s">
        <v>89</v>
      </c>
      <c r="AB200" s="4">
        <v>45663</v>
      </c>
      <c r="AC200" t="s">
        <v>1652</v>
      </c>
      <c r="AD200" t="s">
        <v>1653</v>
      </c>
      <c r="AE200" t="s">
        <v>52</v>
      </c>
    </row>
    <row r="201" spans="1:31" x14ac:dyDescent="0.3">
      <c r="A201" t="s">
        <v>982</v>
      </c>
      <c r="B201" s="4">
        <v>45618</v>
      </c>
      <c r="C201" t="s">
        <v>1646</v>
      </c>
      <c r="D201" t="s">
        <v>983</v>
      </c>
      <c r="E201" t="s">
        <v>26</v>
      </c>
      <c r="F201" t="s">
        <v>984</v>
      </c>
      <c r="G201" t="s">
        <v>79</v>
      </c>
      <c r="H201" t="s">
        <v>985</v>
      </c>
      <c r="I201">
        <v>999</v>
      </c>
      <c r="J201">
        <v>1</v>
      </c>
      <c r="K201" t="s">
        <v>1647</v>
      </c>
      <c r="L201">
        <v>999</v>
      </c>
      <c r="M201">
        <v>999</v>
      </c>
      <c r="O201">
        <v>0</v>
      </c>
      <c r="P201">
        <v>0</v>
      </c>
      <c r="Q201" t="s">
        <v>70</v>
      </c>
      <c r="R201" t="s">
        <v>46</v>
      </c>
      <c r="S201" t="s">
        <v>32</v>
      </c>
      <c r="T201" t="s">
        <v>33</v>
      </c>
      <c r="U201" t="s">
        <v>32</v>
      </c>
      <c r="V201" s="4">
        <v>45632</v>
      </c>
      <c r="W201" t="s">
        <v>1648</v>
      </c>
      <c r="X201" t="s">
        <v>1650</v>
      </c>
      <c r="Y201" t="s">
        <v>35</v>
      </c>
      <c r="Z201" t="s">
        <v>36</v>
      </c>
      <c r="AB201" s="4"/>
      <c r="AC201" t="s">
        <v>1649</v>
      </c>
      <c r="AD201" t="s">
        <v>1651</v>
      </c>
      <c r="AE201" t="s">
        <v>37</v>
      </c>
    </row>
    <row r="202" spans="1:31" x14ac:dyDescent="0.3">
      <c r="A202" t="s">
        <v>986</v>
      </c>
      <c r="B202" s="4">
        <v>45618</v>
      </c>
      <c r="C202" t="s">
        <v>1646</v>
      </c>
      <c r="D202" t="s">
        <v>987</v>
      </c>
      <c r="E202" t="s">
        <v>26</v>
      </c>
      <c r="F202" t="s">
        <v>988</v>
      </c>
      <c r="G202" t="s">
        <v>28</v>
      </c>
      <c r="H202" t="s">
        <v>989</v>
      </c>
      <c r="I202">
        <v>1699</v>
      </c>
      <c r="J202">
        <v>1</v>
      </c>
      <c r="K202" t="s">
        <v>1647</v>
      </c>
      <c r="L202">
        <v>1699</v>
      </c>
      <c r="M202">
        <v>1444.15</v>
      </c>
      <c r="N202" t="s">
        <v>777</v>
      </c>
      <c r="O202">
        <v>15</v>
      </c>
      <c r="P202">
        <v>254.85</v>
      </c>
      <c r="Q202" t="s">
        <v>30</v>
      </c>
      <c r="R202" t="s">
        <v>71</v>
      </c>
      <c r="S202" t="s">
        <v>47</v>
      </c>
      <c r="T202" t="s">
        <v>47</v>
      </c>
      <c r="U202" t="s">
        <v>47</v>
      </c>
      <c r="V202" s="4">
        <v>45633</v>
      </c>
      <c r="W202" t="s">
        <v>1648</v>
      </c>
      <c r="X202" t="s">
        <v>1650</v>
      </c>
      <c r="Y202" t="s">
        <v>35</v>
      </c>
      <c r="Z202" t="s">
        <v>49</v>
      </c>
      <c r="AA202" t="s">
        <v>158</v>
      </c>
      <c r="AB202" s="4">
        <v>45662</v>
      </c>
      <c r="AC202" t="s">
        <v>1652</v>
      </c>
      <c r="AD202" t="s">
        <v>1653</v>
      </c>
      <c r="AE202" t="s">
        <v>52</v>
      </c>
    </row>
    <row r="203" spans="1:31" x14ac:dyDescent="0.3">
      <c r="A203" t="s">
        <v>990</v>
      </c>
      <c r="B203" s="4">
        <v>45619</v>
      </c>
      <c r="C203" t="s">
        <v>1646</v>
      </c>
      <c r="D203" t="s">
        <v>991</v>
      </c>
      <c r="E203" t="s">
        <v>26</v>
      </c>
      <c r="F203" t="s">
        <v>992</v>
      </c>
      <c r="G203" t="s">
        <v>42</v>
      </c>
      <c r="H203" t="s">
        <v>993</v>
      </c>
      <c r="I203">
        <v>2799</v>
      </c>
      <c r="J203">
        <v>1</v>
      </c>
      <c r="K203" t="s">
        <v>1647</v>
      </c>
      <c r="L203">
        <v>2799</v>
      </c>
      <c r="M203">
        <v>2799</v>
      </c>
      <c r="O203">
        <v>0</v>
      </c>
      <c r="P203">
        <v>0</v>
      </c>
      <c r="Q203" t="s">
        <v>45</v>
      </c>
      <c r="R203" t="s">
        <v>31</v>
      </c>
      <c r="S203" t="s">
        <v>101</v>
      </c>
      <c r="T203" t="s">
        <v>102</v>
      </c>
      <c r="U203" t="s">
        <v>47</v>
      </c>
      <c r="V203" s="4">
        <v>45635</v>
      </c>
      <c r="W203" t="s">
        <v>1648</v>
      </c>
      <c r="X203" t="s">
        <v>1650</v>
      </c>
      <c r="Y203" t="s">
        <v>35</v>
      </c>
      <c r="Z203" t="s">
        <v>36</v>
      </c>
      <c r="AB203" s="4"/>
      <c r="AC203" t="s">
        <v>1649</v>
      </c>
      <c r="AD203" t="s">
        <v>1651</v>
      </c>
      <c r="AE203" t="s">
        <v>37</v>
      </c>
    </row>
    <row r="204" spans="1:31" x14ac:dyDescent="0.3">
      <c r="A204" t="s">
        <v>995</v>
      </c>
      <c r="B204" s="4">
        <v>45619</v>
      </c>
      <c r="C204" t="s">
        <v>1646</v>
      </c>
      <c r="D204" t="s">
        <v>996</v>
      </c>
      <c r="E204" t="s">
        <v>40</v>
      </c>
      <c r="F204" t="s">
        <v>997</v>
      </c>
      <c r="G204" t="s">
        <v>58</v>
      </c>
      <c r="H204" t="s">
        <v>998</v>
      </c>
      <c r="I204">
        <v>2399</v>
      </c>
      <c r="J204">
        <v>1</v>
      </c>
      <c r="K204" t="s">
        <v>1647</v>
      </c>
      <c r="L204">
        <v>2399</v>
      </c>
      <c r="M204">
        <v>2399</v>
      </c>
      <c r="O204">
        <v>0</v>
      </c>
      <c r="P204">
        <v>0</v>
      </c>
      <c r="Q204" t="s">
        <v>60</v>
      </c>
      <c r="R204" t="s">
        <v>46</v>
      </c>
      <c r="S204" t="s">
        <v>72</v>
      </c>
      <c r="T204" t="s">
        <v>73</v>
      </c>
      <c r="U204" t="s">
        <v>61</v>
      </c>
      <c r="V204" s="4">
        <v>45633</v>
      </c>
      <c r="W204" t="s">
        <v>1648</v>
      </c>
      <c r="X204" t="s">
        <v>1650</v>
      </c>
      <c r="Y204" t="s">
        <v>35</v>
      </c>
      <c r="Z204" t="s">
        <v>49</v>
      </c>
      <c r="AA204" t="s">
        <v>75</v>
      </c>
      <c r="AB204" s="4">
        <v>45661</v>
      </c>
      <c r="AC204" t="s">
        <v>1652</v>
      </c>
      <c r="AD204" t="s">
        <v>1653</v>
      </c>
      <c r="AE204" t="s">
        <v>52</v>
      </c>
    </row>
    <row r="205" spans="1:31" x14ac:dyDescent="0.3">
      <c r="A205" t="s">
        <v>999</v>
      </c>
      <c r="B205" s="4">
        <v>45619</v>
      </c>
      <c r="C205" t="s">
        <v>1646</v>
      </c>
      <c r="D205" t="s">
        <v>1000</v>
      </c>
      <c r="E205" t="s">
        <v>26</v>
      </c>
      <c r="F205" t="s">
        <v>1001</v>
      </c>
      <c r="G205" t="s">
        <v>67</v>
      </c>
      <c r="H205" t="s">
        <v>1002</v>
      </c>
      <c r="I205">
        <v>6799</v>
      </c>
      <c r="J205">
        <v>1</v>
      </c>
      <c r="K205" t="s">
        <v>1647</v>
      </c>
      <c r="L205">
        <v>6799</v>
      </c>
      <c r="M205">
        <v>6799</v>
      </c>
      <c r="O205">
        <v>0</v>
      </c>
      <c r="P205">
        <v>0</v>
      </c>
      <c r="Q205" t="s">
        <v>30</v>
      </c>
      <c r="R205" t="s">
        <v>71</v>
      </c>
      <c r="S205" t="s">
        <v>86</v>
      </c>
      <c r="T205" t="s">
        <v>87</v>
      </c>
      <c r="U205" t="s">
        <v>61</v>
      </c>
      <c r="V205" s="4">
        <v>45636</v>
      </c>
      <c r="W205" t="s">
        <v>1648</v>
      </c>
      <c r="X205" t="s">
        <v>1650</v>
      </c>
      <c r="Y205" t="s">
        <v>35</v>
      </c>
      <c r="Z205" t="s">
        <v>49</v>
      </c>
      <c r="AA205" t="s">
        <v>50</v>
      </c>
      <c r="AB205" s="4">
        <v>45665</v>
      </c>
      <c r="AC205" t="s">
        <v>1652</v>
      </c>
      <c r="AD205" t="s">
        <v>1653</v>
      </c>
      <c r="AE205" t="s">
        <v>52</v>
      </c>
    </row>
    <row r="206" spans="1:31" x14ac:dyDescent="0.3">
      <c r="A206" t="s">
        <v>1004</v>
      </c>
      <c r="B206" s="4">
        <v>45620</v>
      </c>
      <c r="C206" t="s">
        <v>1646</v>
      </c>
      <c r="D206" t="s">
        <v>1005</v>
      </c>
      <c r="E206" t="s">
        <v>26</v>
      </c>
      <c r="F206" t="s">
        <v>1006</v>
      </c>
      <c r="G206" t="s">
        <v>79</v>
      </c>
      <c r="H206" t="s">
        <v>1007</v>
      </c>
      <c r="I206">
        <v>1499</v>
      </c>
      <c r="J206">
        <v>1</v>
      </c>
      <c r="K206" t="s">
        <v>1647</v>
      </c>
      <c r="L206">
        <v>1499</v>
      </c>
      <c r="M206">
        <v>1274.1500000000001</v>
      </c>
      <c r="N206" t="s">
        <v>777</v>
      </c>
      <c r="O206">
        <v>15</v>
      </c>
      <c r="P206">
        <v>224.85</v>
      </c>
      <c r="Q206" t="s">
        <v>128</v>
      </c>
      <c r="R206" t="s">
        <v>31</v>
      </c>
      <c r="S206" t="s">
        <v>95</v>
      </c>
      <c r="T206" t="s">
        <v>33</v>
      </c>
      <c r="U206" t="s">
        <v>32</v>
      </c>
      <c r="V206" s="4">
        <v>45634</v>
      </c>
      <c r="W206" t="s">
        <v>1648</v>
      </c>
      <c r="X206" t="s">
        <v>1650</v>
      </c>
      <c r="Y206" t="s">
        <v>35</v>
      </c>
      <c r="Z206" t="s">
        <v>36</v>
      </c>
      <c r="AB206" s="4"/>
      <c r="AC206" t="s">
        <v>1649</v>
      </c>
      <c r="AD206" t="s">
        <v>1651</v>
      </c>
      <c r="AE206" t="s">
        <v>37</v>
      </c>
    </row>
    <row r="207" spans="1:31" x14ac:dyDescent="0.3">
      <c r="A207" t="s">
        <v>1008</v>
      </c>
      <c r="B207" s="4">
        <v>45620</v>
      </c>
      <c r="C207" t="s">
        <v>1646</v>
      </c>
      <c r="D207" t="s">
        <v>1009</v>
      </c>
      <c r="E207" t="s">
        <v>26</v>
      </c>
      <c r="F207" t="s">
        <v>1010</v>
      </c>
      <c r="G207" t="s">
        <v>28</v>
      </c>
      <c r="H207" t="s">
        <v>1011</v>
      </c>
      <c r="I207">
        <v>2299</v>
      </c>
      <c r="J207">
        <v>1</v>
      </c>
      <c r="K207" t="s">
        <v>1647</v>
      </c>
      <c r="L207">
        <v>2299</v>
      </c>
      <c r="M207">
        <v>2299</v>
      </c>
      <c r="O207">
        <v>0</v>
      </c>
      <c r="P207">
        <v>0</v>
      </c>
      <c r="Q207" t="s">
        <v>70</v>
      </c>
      <c r="R207" t="s">
        <v>46</v>
      </c>
      <c r="S207" t="s">
        <v>108</v>
      </c>
      <c r="T207" t="s">
        <v>109</v>
      </c>
      <c r="U207" t="s">
        <v>32</v>
      </c>
      <c r="V207" s="4">
        <v>45635</v>
      </c>
      <c r="W207" t="s">
        <v>1648</v>
      </c>
      <c r="X207" t="s">
        <v>1650</v>
      </c>
      <c r="Y207" t="s">
        <v>35</v>
      </c>
      <c r="Z207" t="s">
        <v>49</v>
      </c>
      <c r="AA207" t="s">
        <v>119</v>
      </c>
      <c r="AB207" s="4">
        <v>45664</v>
      </c>
      <c r="AC207" t="s">
        <v>1652</v>
      </c>
      <c r="AD207" t="s">
        <v>1653</v>
      </c>
      <c r="AE207" t="s">
        <v>52</v>
      </c>
    </row>
    <row r="208" spans="1:31" x14ac:dyDescent="0.3">
      <c r="A208" t="s">
        <v>1013</v>
      </c>
      <c r="B208" s="4">
        <v>45620</v>
      </c>
      <c r="C208" t="s">
        <v>1646</v>
      </c>
      <c r="D208" t="s">
        <v>1014</v>
      </c>
      <c r="E208" t="s">
        <v>26</v>
      </c>
      <c r="F208" t="s">
        <v>1015</v>
      </c>
      <c r="G208" t="s">
        <v>42</v>
      </c>
      <c r="H208" t="s">
        <v>1016</v>
      </c>
      <c r="I208">
        <v>4999</v>
      </c>
      <c r="J208">
        <v>1</v>
      </c>
      <c r="K208" t="s">
        <v>1647</v>
      </c>
      <c r="L208">
        <v>4999</v>
      </c>
      <c r="M208">
        <v>4999</v>
      </c>
      <c r="O208">
        <v>0</v>
      </c>
      <c r="P208">
        <v>0</v>
      </c>
      <c r="Q208" t="s">
        <v>45</v>
      </c>
      <c r="R208" t="s">
        <v>71</v>
      </c>
      <c r="S208" t="s">
        <v>116</v>
      </c>
      <c r="T208" t="s">
        <v>117</v>
      </c>
      <c r="U208" t="s">
        <v>47</v>
      </c>
      <c r="V208" s="4">
        <v>45637</v>
      </c>
      <c r="W208" t="s">
        <v>1648</v>
      </c>
      <c r="X208" t="s">
        <v>1650</v>
      </c>
      <c r="Y208" t="s">
        <v>35</v>
      </c>
      <c r="Z208" t="s">
        <v>36</v>
      </c>
      <c r="AB208" s="4"/>
      <c r="AC208" t="s">
        <v>1649</v>
      </c>
      <c r="AD208" t="s">
        <v>1651</v>
      </c>
      <c r="AE208" t="s">
        <v>37</v>
      </c>
    </row>
    <row r="209" spans="1:31" x14ac:dyDescent="0.3">
      <c r="A209" t="s">
        <v>1018</v>
      </c>
      <c r="B209" s="4">
        <v>45621</v>
      </c>
      <c r="C209" t="s">
        <v>1646</v>
      </c>
      <c r="D209" t="s">
        <v>1019</v>
      </c>
      <c r="E209" t="s">
        <v>40</v>
      </c>
      <c r="F209" t="s">
        <v>1020</v>
      </c>
      <c r="G209" t="s">
        <v>58</v>
      </c>
      <c r="H209" t="s">
        <v>1021</v>
      </c>
      <c r="I209">
        <v>2099</v>
      </c>
      <c r="J209">
        <v>1</v>
      </c>
      <c r="K209" t="s">
        <v>1647</v>
      </c>
      <c r="L209">
        <v>2099</v>
      </c>
      <c r="M209">
        <v>2099</v>
      </c>
      <c r="O209">
        <v>0</v>
      </c>
      <c r="P209">
        <v>0</v>
      </c>
      <c r="Q209" t="s">
        <v>30</v>
      </c>
      <c r="R209" t="s">
        <v>31</v>
      </c>
      <c r="S209" t="s">
        <v>129</v>
      </c>
      <c r="T209" t="s">
        <v>130</v>
      </c>
      <c r="U209" t="s">
        <v>47</v>
      </c>
      <c r="V209" s="4">
        <v>45635</v>
      </c>
      <c r="W209" t="s">
        <v>1648</v>
      </c>
      <c r="X209" t="s">
        <v>1650</v>
      </c>
      <c r="Y209" t="s">
        <v>35</v>
      </c>
      <c r="Z209" t="s">
        <v>49</v>
      </c>
      <c r="AA209" t="s">
        <v>89</v>
      </c>
      <c r="AB209" s="4">
        <v>45663</v>
      </c>
      <c r="AC209" t="s">
        <v>1652</v>
      </c>
      <c r="AD209" t="s">
        <v>1653</v>
      </c>
      <c r="AE209" t="s">
        <v>52</v>
      </c>
    </row>
    <row r="210" spans="1:31" x14ac:dyDescent="0.3">
      <c r="A210" t="s">
        <v>1022</v>
      </c>
      <c r="B210" s="4">
        <v>45621</v>
      </c>
      <c r="C210" t="s">
        <v>1646</v>
      </c>
      <c r="D210" t="s">
        <v>1023</v>
      </c>
      <c r="E210" t="s">
        <v>26</v>
      </c>
      <c r="F210" t="s">
        <v>1024</v>
      </c>
      <c r="G210" t="s">
        <v>67</v>
      </c>
      <c r="H210" t="s">
        <v>1025</v>
      </c>
      <c r="I210">
        <v>5799</v>
      </c>
      <c r="J210">
        <v>1</v>
      </c>
      <c r="K210" t="s">
        <v>1647</v>
      </c>
      <c r="L210">
        <v>5799</v>
      </c>
      <c r="M210">
        <v>4929.1499999999996</v>
      </c>
      <c r="N210" t="s">
        <v>777</v>
      </c>
      <c r="O210">
        <v>15</v>
      </c>
      <c r="P210">
        <v>869.85</v>
      </c>
      <c r="Q210" t="s">
        <v>60</v>
      </c>
      <c r="R210" t="s">
        <v>46</v>
      </c>
      <c r="S210" t="s">
        <v>61</v>
      </c>
      <c r="T210" t="s">
        <v>62</v>
      </c>
      <c r="U210" t="s">
        <v>61</v>
      </c>
      <c r="V210" s="4">
        <v>45638</v>
      </c>
      <c r="W210" t="s">
        <v>1648</v>
      </c>
      <c r="X210" t="s">
        <v>1650</v>
      </c>
      <c r="Y210" t="s">
        <v>35</v>
      </c>
      <c r="Z210" t="s">
        <v>49</v>
      </c>
      <c r="AA210" t="s">
        <v>50</v>
      </c>
      <c r="AB210" s="4">
        <v>45667</v>
      </c>
      <c r="AC210" t="s">
        <v>1652</v>
      </c>
      <c r="AD210" t="s">
        <v>1653</v>
      </c>
      <c r="AE210" t="s">
        <v>52</v>
      </c>
    </row>
    <row r="211" spans="1:31" x14ac:dyDescent="0.3">
      <c r="A211" t="s">
        <v>1027</v>
      </c>
      <c r="B211" s="4">
        <v>45621</v>
      </c>
      <c r="C211" t="s">
        <v>1646</v>
      </c>
      <c r="D211" t="s">
        <v>1028</v>
      </c>
      <c r="E211" t="s">
        <v>26</v>
      </c>
      <c r="F211" t="s">
        <v>1029</v>
      </c>
      <c r="G211" t="s">
        <v>79</v>
      </c>
      <c r="H211" t="s">
        <v>1030</v>
      </c>
      <c r="I211">
        <v>1199</v>
      </c>
      <c r="J211">
        <v>1</v>
      </c>
      <c r="K211" t="s">
        <v>1647</v>
      </c>
      <c r="L211">
        <v>1199</v>
      </c>
      <c r="M211">
        <v>1199</v>
      </c>
      <c r="O211">
        <v>0</v>
      </c>
      <c r="P211">
        <v>0</v>
      </c>
      <c r="Q211" t="s">
        <v>45</v>
      </c>
      <c r="R211" t="s">
        <v>71</v>
      </c>
      <c r="S211" t="s">
        <v>32</v>
      </c>
      <c r="T211" t="s">
        <v>33</v>
      </c>
      <c r="U211" t="s">
        <v>32</v>
      </c>
      <c r="V211" s="4">
        <v>45636</v>
      </c>
      <c r="W211" t="s">
        <v>1648</v>
      </c>
      <c r="X211" t="s">
        <v>1650</v>
      </c>
      <c r="Y211" t="s">
        <v>35</v>
      </c>
      <c r="Z211" t="s">
        <v>36</v>
      </c>
      <c r="AB211" s="4"/>
      <c r="AC211" t="s">
        <v>1649</v>
      </c>
      <c r="AD211" t="s">
        <v>1651</v>
      </c>
      <c r="AE211" t="s">
        <v>37</v>
      </c>
    </row>
    <row r="212" spans="1:31" x14ac:dyDescent="0.3">
      <c r="A212" t="s">
        <v>1031</v>
      </c>
      <c r="B212" s="4">
        <v>45622</v>
      </c>
      <c r="C212" t="s">
        <v>1646</v>
      </c>
      <c r="D212" t="s">
        <v>1032</v>
      </c>
      <c r="E212" t="s">
        <v>26</v>
      </c>
      <c r="F212" t="s">
        <v>1033</v>
      </c>
      <c r="G212" t="s">
        <v>28</v>
      </c>
      <c r="H212" t="s">
        <v>1034</v>
      </c>
      <c r="I212">
        <v>1899</v>
      </c>
      <c r="J212">
        <v>1</v>
      </c>
      <c r="K212" t="s">
        <v>1647</v>
      </c>
      <c r="L212">
        <v>1899</v>
      </c>
      <c r="M212">
        <v>1899</v>
      </c>
      <c r="O212">
        <v>0</v>
      </c>
      <c r="P212">
        <v>0</v>
      </c>
      <c r="Q212" t="s">
        <v>128</v>
      </c>
      <c r="R212" t="s">
        <v>31</v>
      </c>
      <c r="S212" t="s">
        <v>47</v>
      </c>
      <c r="T212" t="s">
        <v>47</v>
      </c>
      <c r="U212" t="s">
        <v>47</v>
      </c>
      <c r="V212" s="4">
        <v>45637</v>
      </c>
      <c r="W212" t="s">
        <v>1648</v>
      </c>
      <c r="X212" t="s">
        <v>1650</v>
      </c>
      <c r="Y212" t="s">
        <v>35</v>
      </c>
      <c r="Z212" t="s">
        <v>49</v>
      </c>
      <c r="AA212" t="s">
        <v>158</v>
      </c>
      <c r="AB212" s="4">
        <v>45665</v>
      </c>
      <c r="AC212" t="s">
        <v>1652</v>
      </c>
      <c r="AD212" t="s">
        <v>1653</v>
      </c>
      <c r="AE212" t="s">
        <v>52</v>
      </c>
    </row>
    <row r="213" spans="1:31" x14ac:dyDescent="0.3">
      <c r="A213" t="s">
        <v>1035</v>
      </c>
      <c r="B213" s="4">
        <v>45622</v>
      </c>
      <c r="C213" t="s">
        <v>1646</v>
      </c>
      <c r="D213" t="s">
        <v>1036</v>
      </c>
      <c r="E213" t="s">
        <v>26</v>
      </c>
      <c r="F213" t="s">
        <v>1037</v>
      </c>
      <c r="G213" t="s">
        <v>42</v>
      </c>
      <c r="H213" t="s">
        <v>1038</v>
      </c>
      <c r="I213">
        <v>3699</v>
      </c>
      <c r="J213">
        <v>1</v>
      </c>
      <c r="K213" t="s">
        <v>1647</v>
      </c>
      <c r="L213">
        <v>3699</v>
      </c>
      <c r="M213">
        <v>3699</v>
      </c>
      <c r="O213">
        <v>0</v>
      </c>
      <c r="P213">
        <v>0</v>
      </c>
      <c r="Q213" t="s">
        <v>70</v>
      </c>
      <c r="R213" t="s">
        <v>46</v>
      </c>
      <c r="S213" t="s">
        <v>135</v>
      </c>
      <c r="T213" t="s">
        <v>136</v>
      </c>
      <c r="U213" t="s">
        <v>47</v>
      </c>
      <c r="V213" s="4">
        <v>45639</v>
      </c>
      <c r="W213" t="s">
        <v>1648</v>
      </c>
      <c r="X213" t="s">
        <v>1650</v>
      </c>
      <c r="Y213" t="s">
        <v>35</v>
      </c>
      <c r="Z213" t="s">
        <v>36</v>
      </c>
      <c r="AB213" s="4"/>
      <c r="AC213" t="s">
        <v>1649</v>
      </c>
      <c r="AD213" t="s">
        <v>1651</v>
      </c>
      <c r="AE213" t="s">
        <v>37</v>
      </c>
    </row>
    <row r="214" spans="1:31" x14ac:dyDescent="0.3">
      <c r="A214" t="s">
        <v>1039</v>
      </c>
      <c r="B214" s="4">
        <v>45622</v>
      </c>
      <c r="C214" t="s">
        <v>1646</v>
      </c>
      <c r="D214" t="s">
        <v>1040</v>
      </c>
      <c r="E214" t="s">
        <v>40</v>
      </c>
      <c r="F214" t="s">
        <v>1041</v>
      </c>
      <c r="G214" t="s">
        <v>58</v>
      </c>
      <c r="H214" t="s">
        <v>1042</v>
      </c>
      <c r="I214">
        <v>2699</v>
      </c>
      <c r="J214">
        <v>1</v>
      </c>
      <c r="K214" t="s">
        <v>1647</v>
      </c>
      <c r="L214">
        <v>2699</v>
      </c>
      <c r="M214">
        <v>2294.15</v>
      </c>
      <c r="N214" t="s">
        <v>777</v>
      </c>
      <c r="O214">
        <v>15</v>
      </c>
      <c r="P214">
        <v>404.85</v>
      </c>
      <c r="Q214" t="s">
        <v>30</v>
      </c>
      <c r="R214" t="s">
        <v>71</v>
      </c>
      <c r="S214" t="s">
        <v>156</v>
      </c>
      <c r="T214" t="s">
        <v>130</v>
      </c>
      <c r="U214" t="s">
        <v>47</v>
      </c>
      <c r="V214" s="4">
        <v>45637</v>
      </c>
      <c r="W214" t="s">
        <v>1648</v>
      </c>
      <c r="X214" t="s">
        <v>1650</v>
      </c>
      <c r="Y214" t="s">
        <v>35</v>
      </c>
      <c r="Z214" t="s">
        <v>49</v>
      </c>
      <c r="AA214" t="s">
        <v>75</v>
      </c>
      <c r="AB214" s="4">
        <v>45666</v>
      </c>
      <c r="AC214" t="s">
        <v>1652</v>
      </c>
      <c r="AD214" t="s">
        <v>1653</v>
      </c>
      <c r="AE214" t="s">
        <v>52</v>
      </c>
    </row>
    <row r="215" spans="1:31" x14ac:dyDescent="0.3">
      <c r="A215" t="s">
        <v>1044</v>
      </c>
      <c r="B215" s="4">
        <v>45623</v>
      </c>
      <c r="C215" t="s">
        <v>1646</v>
      </c>
      <c r="D215" t="s">
        <v>1045</v>
      </c>
      <c r="E215" t="s">
        <v>26</v>
      </c>
      <c r="F215" t="s">
        <v>1046</v>
      </c>
      <c r="G215" t="s">
        <v>67</v>
      </c>
      <c r="H215" t="s">
        <v>1047</v>
      </c>
      <c r="I215">
        <v>4999</v>
      </c>
      <c r="J215">
        <v>1</v>
      </c>
      <c r="K215" t="s">
        <v>1647</v>
      </c>
      <c r="L215">
        <v>4999</v>
      </c>
      <c r="M215">
        <v>4999</v>
      </c>
      <c r="O215">
        <v>0</v>
      </c>
      <c r="P215">
        <v>0</v>
      </c>
      <c r="Q215" t="s">
        <v>45</v>
      </c>
      <c r="R215" t="s">
        <v>31</v>
      </c>
      <c r="S215" t="s">
        <v>164</v>
      </c>
      <c r="T215" t="s">
        <v>165</v>
      </c>
      <c r="U215" t="s">
        <v>47</v>
      </c>
      <c r="V215" s="4">
        <v>45640</v>
      </c>
      <c r="W215" t="s">
        <v>1648</v>
      </c>
      <c r="X215" t="s">
        <v>1650</v>
      </c>
      <c r="Y215" t="s">
        <v>35</v>
      </c>
      <c r="Z215" t="s">
        <v>49</v>
      </c>
      <c r="AA215" t="s">
        <v>50</v>
      </c>
      <c r="AB215" s="4">
        <v>45669</v>
      </c>
      <c r="AC215" t="s">
        <v>1652</v>
      </c>
      <c r="AD215" t="s">
        <v>1653</v>
      </c>
      <c r="AE215" t="s">
        <v>52</v>
      </c>
    </row>
    <row r="216" spans="1:31" x14ac:dyDescent="0.3">
      <c r="A216" t="s">
        <v>1049</v>
      </c>
      <c r="B216" s="4">
        <v>45623</v>
      </c>
      <c r="C216" t="s">
        <v>1646</v>
      </c>
      <c r="D216" t="s">
        <v>1050</v>
      </c>
      <c r="E216" t="s">
        <v>26</v>
      </c>
      <c r="F216" t="s">
        <v>1051</v>
      </c>
      <c r="G216" t="s">
        <v>79</v>
      </c>
      <c r="H216" t="s">
        <v>1052</v>
      </c>
      <c r="I216">
        <v>899</v>
      </c>
      <c r="J216">
        <v>2</v>
      </c>
      <c r="K216" t="s">
        <v>1647</v>
      </c>
      <c r="L216">
        <v>1798</v>
      </c>
      <c r="M216">
        <v>1798</v>
      </c>
      <c r="O216">
        <v>0</v>
      </c>
      <c r="P216">
        <v>0</v>
      </c>
      <c r="Q216" t="s">
        <v>60</v>
      </c>
      <c r="R216" t="s">
        <v>46</v>
      </c>
      <c r="S216" t="s">
        <v>171</v>
      </c>
      <c r="T216" t="s">
        <v>172</v>
      </c>
      <c r="U216" t="s">
        <v>32</v>
      </c>
      <c r="V216" s="4">
        <v>45638</v>
      </c>
      <c r="W216" t="s">
        <v>1648</v>
      </c>
      <c r="X216" t="s">
        <v>1650</v>
      </c>
      <c r="Y216" t="s">
        <v>35</v>
      </c>
      <c r="Z216" t="s">
        <v>36</v>
      </c>
      <c r="AB216" s="4"/>
      <c r="AC216" t="s">
        <v>1649</v>
      </c>
      <c r="AD216" t="s">
        <v>1651</v>
      </c>
      <c r="AE216" t="s">
        <v>37</v>
      </c>
    </row>
    <row r="217" spans="1:31" x14ac:dyDescent="0.3">
      <c r="A217" t="s">
        <v>1053</v>
      </c>
      <c r="B217" s="4">
        <v>45623</v>
      </c>
      <c r="C217" t="s">
        <v>1646</v>
      </c>
      <c r="D217" t="s">
        <v>1054</v>
      </c>
      <c r="E217" t="s">
        <v>26</v>
      </c>
      <c r="F217" t="s">
        <v>1055</v>
      </c>
      <c r="G217" t="s">
        <v>28</v>
      </c>
      <c r="H217" t="s">
        <v>1056</v>
      </c>
      <c r="I217">
        <v>1599</v>
      </c>
      <c r="J217">
        <v>1</v>
      </c>
      <c r="K217" t="s">
        <v>1647</v>
      </c>
      <c r="L217">
        <v>1599</v>
      </c>
      <c r="M217">
        <v>1599</v>
      </c>
      <c r="O217">
        <v>0</v>
      </c>
      <c r="P217">
        <v>0</v>
      </c>
      <c r="Q217" t="s">
        <v>30</v>
      </c>
      <c r="R217" t="s">
        <v>71</v>
      </c>
      <c r="S217" t="s">
        <v>177</v>
      </c>
      <c r="T217" t="s">
        <v>109</v>
      </c>
      <c r="U217" t="s">
        <v>32</v>
      </c>
      <c r="V217" s="4">
        <v>45639</v>
      </c>
      <c r="W217" t="s">
        <v>1648</v>
      </c>
      <c r="X217" t="s">
        <v>1650</v>
      </c>
      <c r="Y217" t="s">
        <v>35</v>
      </c>
      <c r="Z217" t="s">
        <v>49</v>
      </c>
      <c r="AA217" t="s">
        <v>119</v>
      </c>
      <c r="AB217" s="4">
        <v>45667</v>
      </c>
      <c r="AC217" t="s">
        <v>1652</v>
      </c>
      <c r="AD217" t="s">
        <v>1653</v>
      </c>
      <c r="AE217" t="s">
        <v>52</v>
      </c>
    </row>
    <row r="218" spans="1:31" x14ac:dyDescent="0.3">
      <c r="A218" t="s">
        <v>1057</v>
      </c>
      <c r="B218" s="4">
        <v>45624</v>
      </c>
      <c r="C218" t="s">
        <v>1646</v>
      </c>
      <c r="D218" t="s">
        <v>1058</v>
      </c>
      <c r="E218" t="s">
        <v>26</v>
      </c>
      <c r="F218" t="s">
        <v>1059</v>
      </c>
      <c r="G218" t="s">
        <v>42</v>
      </c>
      <c r="H218" t="s">
        <v>1060</v>
      </c>
      <c r="I218">
        <v>2599</v>
      </c>
      <c r="J218">
        <v>1</v>
      </c>
      <c r="K218" t="s">
        <v>1647</v>
      </c>
      <c r="L218">
        <v>2599</v>
      </c>
      <c r="M218">
        <v>2209.15</v>
      </c>
      <c r="N218" t="s">
        <v>777</v>
      </c>
      <c r="O218">
        <v>15</v>
      </c>
      <c r="P218">
        <v>389.85</v>
      </c>
      <c r="Q218" t="s">
        <v>128</v>
      </c>
      <c r="R218" t="s">
        <v>31</v>
      </c>
      <c r="S218" t="s">
        <v>184</v>
      </c>
      <c r="T218" t="s">
        <v>185</v>
      </c>
      <c r="U218" t="s">
        <v>47</v>
      </c>
      <c r="V218" s="4">
        <v>45641</v>
      </c>
      <c r="W218" t="s">
        <v>1648</v>
      </c>
      <c r="X218" t="s">
        <v>1650</v>
      </c>
      <c r="Y218" t="s">
        <v>35</v>
      </c>
      <c r="Z218" t="s">
        <v>36</v>
      </c>
      <c r="AB218" s="4"/>
      <c r="AC218" t="s">
        <v>1649</v>
      </c>
      <c r="AD218" t="s">
        <v>1651</v>
      </c>
      <c r="AE218" t="s">
        <v>37</v>
      </c>
    </row>
    <row r="219" spans="1:31" x14ac:dyDescent="0.3">
      <c r="A219" t="s">
        <v>1061</v>
      </c>
      <c r="B219" s="4">
        <v>45624</v>
      </c>
      <c r="C219" t="s">
        <v>1646</v>
      </c>
      <c r="D219" t="s">
        <v>1062</v>
      </c>
      <c r="E219" t="s">
        <v>40</v>
      </c>
      <c r="F219" t="s">
        <v>1063</v>
      </c>
      <c r="G219" t="s">
        <v>58</v>
      </c>
      <c r="H219" t="s">
        <v>1064</v>
      </c>
      <c r="I219">
        <v>2399</v>
      </c>
      <c r="J219">
        <v>1</v>
      </c>
      <c r="K219" t="s">
        <v>1647</v>
      </c>
      <c r="L219">
        <v>2399</v>
      </c>
      <c r="M219">
        <v>2399</v>
      </c>
      <c r="O219">
        <v>0</v>
      </c>
      <c r="P219">
        <v>0</v>
      </c>
      <c r="Q219" t="s">
        <v>70</v>
      </c>
      <c r="R219" t="s">
        <v>46</v>
      </c>
      <c r="S219" t="s">
        <v>190</v>
      </c>
      <c r="T219" t="s">
        <v>172</v>
      </c>
      <c r="U219" t="s">
        <v>32</v>
      </c>
      <c r="V219" s="4">
        <v>45639</v>
      </c>
      <c r="W219" t="s">
        <v>1648</v>
      </c>
      <c r="X219" t="s">
        <v>1650</v>
      </c>
      <c r="Y219" t="s">
        <v>35</v>
      </c>
      <c r="Z219" t="s">
        <v>49</v>
      </c>
      <c r="AA219" t="s">
        <v>89</v>
      </c>
      <c r="AB219" s="4">
        <v>45668</v>
      </c>
      <c r="AC219" t="s">
        <v>1652</v>
      </c>
      <c r="AD219" t="s">
        <v>1653</v>
      </c>
      <c r="AE219" t="s">
        <v>52</v>
      </c>
    </row>
    <row r="220" spans="1:31" x14ac:dyDescent="0.3">
      <c r="A220" t="s">
        <v>1066</v>
      </c>
      <c r="B220" s="4">
        <v>45624</v>
      </c>
      <c r="C220" t="s">
        <v>1646</v>
      </c>
      <c r="D220" t="s">
        <v>1067</v>
      </c>
      <c r="E220" t="s">
        <v>26</v>
      </c>
      <c r="F220" t="s">
        <v>1068</v>
      </c>
      <c r="G220" t="s">
        <v>67</v>
      </c>
      <c r="H220" t="s">
        <v>1069</v>
      </c>
      <c r="I220">
        <v>6499</v>
      </c>
      <c r="J220">
        <v>1</v>
      </c>
      <c r="K220" t="s">
        <v>1647</v>
      </c>
      <c r="L220">
        <v>6499</v>
      </c>
      <c r="M220">
        <v>6499</v>
      </c>
      <c r="O220">
        <v>0</v>
      </c>
      <c r="P220">
        <v>0</v>
      </c>
      <c r="Q220" t="s">
        <v>45</v>
      </c>
      <c r="R220" t="s">
        <v>71</v>
      </c>
      <c r="S220" t="s">
        <v>195</v>
      </c>
      <c r="T220" t="s">
        <v>33</v>
      </c>
      <c r="U220" t="s">
        <v>32</v>
      </c>
      <c r="V220" s="4">
        <v>45642</v>
      </c>
      <c r="W220" t="s">
        <v>1648</v>
      </c>
      <c r="X220" t="s">
        <v>1650</v>
      </c>
      <c r="Y220" t="s">
        <v>35</v>
      </c>
      <c r="Z220" t="s">
        <v>49</v>
      </c>
      <c r="AA220" t="s">
        <v>50</v>
      </c>
      <c r="AB220" s="4">
        <v>45671</v>
      </c>
      <c r="AC220" t="s">
        <v>1652</v>
      </c>
      <c r="AD220" t="s">
        <v>1653</v>
      </c>
      <c r="AE220" t="s">
        <v>52</v>
      </c>
    </row>
    <row r="221" spans="1:31" x14ac:dyDescent="0.3">
      <c r="A221" t="s">
        <v>1071</v>
      </c>
      <c r="B221" s="4">
        <v>45625</v>
      </c>
      <c r="C221" t="s">
        <v>1646</v>
      </c>
      <c r="D221" t="s">
        <v>1072</v>
      </c>
      <c r="E221" t="s">
        <v>26</v>
      </c>
      <c r="F221" t="s">
        <v>1073</v>
      </c>
      <c r="G221" t="s">
        <v>79</v>
      </c>
      <c r="H221" t="s">
        <v>1074</v>
      </c>
      <c r="I221">
        <v>499</v>
      </c>
      <c r="J221">
        <v>2</v>
      </c>
      <c r="K221" t="s">
        <v>1647</v>
      </c>
      <c r="L221">
        <v>998</v>
      </c>
      <c r="M221">
        <v>998</v>
      </c>
      <c r="O221">
        <v>0</v>
      </c>
      <c r="P221">
        <v>0</v>
      </c>
      <c r="Q221" t="s">
        <v>30</v>
      </c>
      <c r="R221" t="s">
        <v>31</v>
      </c>
      <c r="S221" t="s">
        <v>202</v>
      </c>
      <c r="T221" t="s">
        <v>73</v>
      </c>
      <c r="U221" t="s">
        <v>61</v>
      </c>
      <c r="V221" s="4">
        <v>45640</v>
      </c>
      <c r="W221" t="s">
        <v>1648</v>
      </c>
      <c r="X221" t="s">
        <v>1650</v>
      </c>
      <c r="Y221" t="s">
        <v>35</v>
      </c>
      <c r="Z221" t="s">
        <v>36</v>
      </c>
      <c r="AB221" s="4"/>
      <c r="AC221" t="s">
        <v>1649</v>
      </c>
      <c r="AD221" t="s">
        <v>1651</v>
      </c>
      <c r="AE221" t="s">
        <v>37</v>
      </c>
    </row>
    <row r="222" spans="1:31" x14ac:dyDescent="0.3">
      <c r="A222" t="s">
        <v>1075</v>
      </c>
      <c r="B222" s="4">
        <v>45625</v>
      </c>
      <c r="C222" t="s">
        <v>1646</v>
      </c>
      <c r="D222" t="s">
        <v>1076</v>
      </c>
      <c r="E222" t="s">
        <v>26</v>
      </c>
      <c r="F222" t="s">
        <v>1077</v>
      </c>
      <c r="G222" t="s">
        <v>28</v>
      </c>
      <c r="H222" t="s">
        <v>1078</v>
      </c>
      <c r="I222">
        <v>1999</v>
      </c>
      <c r="J222">
        <v>1</v>
      </c>
      <c r="K222" t="s">
        <v>1647</v>
      </c>
      <c r="L222">
        <v>1999</v>
      </c>
      <c r="M222">
        <v>1999</v>
      </c>
      <c r="O222">
        <v>0</v>
      </c>
      <c r="P222">
        <v>0</v>
      </c>
      <c r="Q222" t="s">
        <v>60</v>
      </c>
      <c r="R222" t="s">
        <v>46</v>
      </c>
      <c r="S222" t="s">
        <v>208</v>
      </c>
      <c r="T222" t="s">
        <v>209</v>
      </c>
      <c r="U222" t="s">
        <v>61</v>
      </c>
      <c r="V222" s="4"/>
      <c r="W222" t="s">
        <v>1656</v>
      </c>
      <c r="X222" t="s">
        <v>1657</v>
      </c>
      <c r="Y222" t="s">
        <v>137</v>
      </c>
      <c r="Z222" t="s">
        <v>36</v>
      </c>
      <c r="AB222" s="4"/>
      <c r="AC222" t="s">
        <v>1656</v>
      </c>
      <c r="AD222" t="s">
        <v>1651</v>
      </c>
      <c r="AE222" t="s">
        <v>37</v>
      </c>
    </row>
    <row r="223" spans="1:31" x14ac:dyDescent="0.3">
      <c r="A223" t="s">
        <v>1079</v>
      </c>
      <c r="B223" s="4">
        <v>45625</v>
      </c>
      <c r="C223" t="s">
        <v>1646</v>
      </c>
      <c r="D223" t="s">
        <v>1080</v>
      </c>
      <c r="E223" t="s">
        <v>26</v>
      </c>
      <c r="F223" t="s">
        <v>1081</v>
      </c>
      <c r="G223" t="s">
        <v>42</v>
      </c>
      <c r="H223" t="s">
        <v>1082</v>
      </c>
      <c r="I223">
        <v>5499</v>
      </c>
      <c r="J223">
        <v>1</v>
      </c>
      <c r="K223" t="s">
        <v>1647</v>
      </c>
      <c r="L223">
        <v>5499</v>
      </c>
      <c r="M223">
        <v>4674.1499999999996</v>
      </c>
      <c r="N223" t="s">
        <v>777</v>
      </c>
      <c r="O223">
        <v>15</v>
      </c>
      <c r="P223">
        <v>824.85</v>
      </c>
      <c r="Q223" t="s">
        <v>45</v>
      </c>
      <c r="R223" t="s">
        <v>71</v>
      </c>
      <c r="S223" t="s">
        <v>215</v>
      </c>
      <c r="T223" t="s">
        <v>216</v>
      </c>
      <c r="U223" t="s">
        <v>61</v>
      </c>
      <c r="V223" s="4">
        <v>45643</v>
      </c>
      <c r="W223" t="s">
        <v>1648</v>
      </c>
      <c r="X223" t="s">
        <v>1650</v>
      </c>
      <c r="Y223" t="s">
        <v>35</v>
      </c>
      <c r="Z223" t="s">
        <v>49</v>
      </c>
      <c r="AA223" t="s">
        <v>75</v>
      </c>
      <c r="AB223" s="4">
        <v>45672</v>
      </c>
      <c r="AC223" t="s">
        <v>1652</v>
      </c>
      <c r="AD223" t="s">
        <v>1653</v>
      </c>
      <c r="AE223" t="s">
        <v>52</v>
      </c>
    </row>
    <row r="224" spans="1:31" x14ac:dyDescent="0.3">
      <c r="A224" t="s">
        <v>1084</v>
      </c>
      <c r="B224" s="4">
        <v>45626</v>
      </c>
      <c r="C224" t="s">
        <v>1646</v>
      </c>
      <c r="D224" t="s">
        <v>1085</v>
      </c>
      <c r="E224" t="s">
        <v>40</v>
      </c>
      <c r="F224" t="s">
        <v>1086</v>
      </c>
      <c r="G224" t="s">
        <v>58</v>
      </c>
      <c r="H224" t="s">
        <v>1087</v>
      </c>
      <c r="I224">
        <v>2799</v>
      </c>
      <c r="J224">
        <v>1</v>
      </c>
      <c r="K224" t="s">
        <v>1647</v>
      </c>
      <c r="L224">
        <v>2799</v>
      </c>
      <c r="M224">
        <v>2799</v>
      </c>
      <c r="O224">
        <v>0</v>
      </c>
      <c r="P224">
        <v>0</v>
      </c>
      <c r="Q224" t="s">
        <v>128</v>
      </c>
      <c r="R224" t="s">
        <v>31</v>
      </c>
      <c r="S224" t="s">
        <v>221</v>
      </c>
      <c r="T224" t="s">
        <v>209</v>
      </c>
      <c r="U224" t="s">
        <v>61</v>
      </c>
      <c r="V224" s="4">
        <v>45641</v>
      </c>
      <c r="W224" t="s">
        <v>1648</v>
      </c>
      <c r="X224" t="s">
        <v>1650</v>
      </c>
      <c r="Y224" t="s">
        <v>35</v>
      </c>
      <c r="Z224" t="s">
        <v>36</v>
      </c>
      <c r="AB224" s="4"/>
      <c r="AC224" t="s">
        <v>1649</v>
      </c>
      <c r="AD224" t="s">
        <v>1651</v>
      </c>
      <c r="AE224" t="s">
        <v>37</v>
      </c>
    </row>
    <row r="225" spans="1:31" x14ac:dyDescent="0.3">
      <c r="A225" t="s">
        <v>1088</v>
      </c>
      <c r="B225" s="4">
        <v>45626</v>
      </c>
      <c r="C225" t="s">
        <v>1646</v>
      </c>
      <c r="D225" t="s">
        <v>1089</v>
      </c>
      <c r="E225" t="s">
        <v>26</v>
      </c>
      <c r="F225" t="s">
        <v>1090</v>
      </c>
      <c r="G225" t="s">
        <v>67</v>
      </c>
      <c r="H225" t="s">
        <v>1091</v>
      </c>
      <c r="I225">
        <v>5299</v>
      </c>
      <c r="J225">
        <v>1</v>
      </c>
      <c r="K225" t="s">
        <v>1647</v>
      </c>
      <c r="L225">
        <v>5299</v>
      </c>
      <c r="M225">
        <v>5299</v>
      </c>
      <c r="O225">
        <v>0</v>
      </c>
      <c r="P225">
        <v>0</v>
      </c>
      <c r="Q225" t="s">
        <v>70</v>
      </c>
      <c r="R225" t="s">
        <v>46</v>
      </c>
      <c r="S225" t="s">
        <v>226</v>
      </c>
      <c r="T225" t="s">
        <v>62</v>
      </c>
      <c r="U225" t="s">
        <v>61</v>
      </c>
      <c r="V225" s="4">
        <v>45644</v>
      </c>
      <c r="W225" t="s">
        <v>1648</v>
      </c>
      <c r="X225" t="s">
        <v>1650</v>
      </c>
      <c r="Y225" t="s">
        <v>35</v>
      </c>
      <c r="Z225" t="s">
        <v>49</v>
      </c>
      <c r="AA225" t="s">
        <v>158</v>
      </c>
      <c r="AB225" s="4">
        <v>45673</v>
      </c>
      <c r="AC225" t="s">
        <v>1652</v>
      </c>
      <c r="AD225" t="s">
        <v>1653</v>
      </c>
      <c r="AE225" t="s">
        <v>52</v>
      </c>
    </row>
    <row r="226" spans="1:31" x14ac:dyDescent="0.3">
      <c r="A226" t="s">
        <v>1093</v>
      </c>
      <c r="B226" s="4">
        <v>45626</v>
      </c>
      <c r="C226" t="s">
        <v>1646</v>
      </c>
      <c r="D226" t="s">
        <v>1094</v>
      </c>
      <c r="E226" t="s">
        <v>26</v>
      </c>
      <c r="F226" t="s">
        <v>1095</v>
      </c>
      <c r="G226" t="s">
        <v>79</v>
      </c>
      <c r="H226" t="s">
        <v>1096</v>
      </c>
      <c r="I226">
        <v>1099</v>
      </c>
      <c r="J226">
        <v>1</v>
      </c>
      <c r="K226" t="s">
        <v>1647</v>
      </c>
      <c r="L226">
        <v>1099</v>
      </c>
      <c r="M226">
        <v>1099</v>
      </c>
      <c r="O226">
        <v>0</v>
      </c>
      <c r="P226">
        <v>0</v>
      </c>
      <c r="Q226" t="s">
        <v>30</v>
      </c>
      <c r="R226" t="s">
        <v>71</v>
      </c>
      <c r="S226" t="s">
        <v>233</v>
      </c>
      <c r="T226" t="s">
        <v>109</v>
      </c>
      <c r="U226" t="s">
        <v>32</v>
      </c>
      <c r="V226" s="4">
        <v>45642</v>
      </c>
      <c r="W226" t="s">
        <v>1648</v>
      </c>
      <c r="X226" t="s">
        <v>1650</v>
      </c>
      <c r="Y226" t="s">
        <v>35</v>
      </c>
      <c r="Z226" t="s">
        <v>49</v>
      </c>
      <c r="AA226" t="s">
        <v>50</v>
      </c>
      <c r="AB226" s="4">
        <v>45671</v>
      </c>
      <c r="AC226" t="s">
        <v>1652</v>
      </c>
      <c r="AD226" t="s">
        <v>1653</v>
      </c>
      <c r="AE226" t="s">
        <v>52</v>
      </c>
    </row>
    <row r="227" spans="1:31" x14ac:dyDescent="0.3">
      <c r="A227" t="s">
        <v>1097</v>
      </c>
      <c r="B227" s="4">
        <v>45627</v>
      </c>
      <c r="C227" t="s">
        <v>1646</v>
      </c>
      <c r="D227" t="s">
        <v>1098</v>
      </c>
      <c r="E227" t="s">
        <v>26</v>
      </c>
      <c r="F227" t="s">
        <v>1099</v>
      </c>
      <c r="G227" t="s">
        <v>28</v>
      </c>
      <c r="H227" t="s">
        <v>1100</v>
      </c>
      <c r="I227">
        <v>2499</v>
      </c>
      <c r="J227">
        <v>1</v>
      </c>
      <c r="K227" t="s">
        <v>1647</v>
      </c>
      <c r="L227">
        <v>2499</v>
      </c>
      <c r="M227">
        <v>1999.2</v>
      </c>
      <c r="N227" t="s">
        <v>1101</v>
      </c>
      <c r="O227">
        <v>20</v>
      </c>
      <c r="P227">
        <v>499.8</v>
      </c>
      <c r="Q227" t="s">
        <v>45</v>
      </c>
      <c r="R227" t="s">
        <v>31</v>
      </c>
      <c r="S227" t="s">
        <v>32</v>
      </c>
      <c r="T227" t="s">
        <v>33</v>
      </c>
      <c r="U227" t="s">
        <v>32</v>
      </c>
      <c r="V227" s="4">
        <v>45632</v>
      </c>
      <c r="W227" t="s">
        <v>1648</v>
      </c>
      <c r="X227" t="s">
        <v>1650</v>
      </c>
      <c r="Y227" t="s">
        <v>35</v>
      </c>
      <c r="Z227" t="s">
        <v>36</v>
      </c>
      <c r="AB227" s="4"/>
      <c r="AC227" t="s">
        <v>1649</v>
      </c>
      <c r="AD227" t="s">
        <v>1651</v>
      </c>
      <c r="AE227" t="s">
        <v>37</v>
      </c>
    </row>
    <row r="228" spans="1:31" x14ac:dyDescent="0.3">
      <c r="A228" t="s">
        <v>1102</v>
      </c>
      <c r="B228" s="4">
        <v>45627</v>
      </c>
      <c r="C228" t="s">
        <v>1646</v>
      </c>
      <c r="D228" t="s">
        <v>1103</v>
      </c>
      <c r="E228" t="s">
        <v>26</v>
      </c>
      <c r="F228" t="s">
        <v>1104</v>
      </c>
      <c r="G228" t="s">
        <v>67</v>
      </c>
      <c r="H228" t="s">
        <v>1105</v>
      </c>
      <c r="I228">
        <v>6499</v>
      </c>
      <c r="J228">
        <v>1</v>
      </c>
      <c r="K228" t="s">
        <v>1647</v>
      </c>
      <c r="L228">
        <v>6499</v>
      </c>
      <c r="M228">
        <v>5199.2</v>
      </c>
      <c r="N228" t="s">
        <v>1101</v>
      </c>
      <c r="O228">
        <v>20</v>
      </c>
      <c r="P228">
        <v>1299.8</v>
      </c>
      <c r="Q228" t="s">
        <v>60</v>
      </c>
      <c r="R228" t="s">
        <v>46</v>
      </c>
      <c r="S228" t="s">
        <v>47</v>
      </c>
      <c r="T228" t="s">
        <v>47</v>
      </c>
      <c r="U228" t="s">
        <v>47</v>
      </c>
      <c r="V228" s="4">
        <v>45634</v>
      </c>
      <c r="W228" t="s">
        <v>1648</v>
      </c>
      <c r="X228" t="s">
        <v>1650</v>
      </c>
      <c r="Y228" t="s">
        <v>35</v>
      </c>
      <c r="Z228" t="s">
        <v>49</v>
      </c>
      <c r="AA228" t="s">
        <v>89</v>
      </c>
      <c r="AB228" s="4">
        <v>45654</v>
      </c>
      <c r="AC228" t="s">
        <v>1652</v>
      </c>
      <c r="AD228" t="s">
        <v>1653</v>
      </c>
      <c r="AE228" t="s">
        <v>121</v>
      </c>
    </row>
    <row r="229" spans="1:31" x14ac:dyDescent="0.3">
      <c r="A229" t="s">
        <v>1106</v>
      </c>
      <c r="B229" s="4">
        <v>45627</v>
      </c>
      <c r="C229" t="s">
        <v>1646</v>
      </c>
      <c r="D229" t="s">
        <v>1107</v>
      </c>
      <c r="E229" t="s">
        <v>40</v>
      </c>
      <c r="F229" t="s">
        <v>1108</v>
      </c>
      <c r="G229" t="s">
        <v>79</v>
      </c>
      <c r="H229" t="s">
        <v>1109</v>
      </c>
      <c r="I229">
        <v>1499</v>
      </c>
      <c r="J229">
        <v>1</v>
      </c>
      <c r="K229" t="s">
        <v>1647</v>
      </c>
      <c r="L229">
        <v>1499</v>
      </c>
      <c r="M229">
        <v>1499</v>
      </c>
      <c r="O229">
        <v>0</v>
      </c>
      <c r="P229">
        <v>0</v>
      </c>
      <c r="Q229" t="s">
        <v>30</v>
      </c>
      <c r="R229" t="s">
        <v>71</v>
      </c>
      <c r="S229" t="s">
        <v>135</v>
      </c>
      <c r="T229" t="s">
        <v>136</v>
      </c>
      <c r="U229" t="s">
        <v>47</v>
      </c>
      <c r="V229" s="4">
        <v>45633</v>
      </c>
      <c r="W229" t="s">
        <v>1648</v>
      </c>
      <c r="X229" t="s">
        <v>1650</v>
      </c>
      <c r="Y229" t="s">
        <v>35</v>
      </c>
      <c r="Z229" t="s">
        <v>36</v>
      </c>
      <c r="AB229" s="4"/>
      <c r="AC229" t="s">
        <v>1649</v>
      </c>
      <c r="AD229" t="s">
        <v>1651</v>
      </c>
      <c r="AE229" t="s">
        <v>37</v>
      </c>
    </row>
    <row r="230" spans="1:31" x14ac:dyDescent="0.3">
      <c r="A230" t="s">
        <v>1110</v>
      </c>
      <c r="B230" s="4">
        <v>45627</v>
      </c>
      <c r="C230" t="s">
        <v>1646</v>
      </c>
      <c r="D230" t="s">
        <v>1111</v>
      </c>
      <c r="E230" t="s">
        <v>26</v>
      </c>
      <c r="F230" t="s">
        <v>1112</v>
      </c>
      <c r="G230" t="s">
        <v>42</v>
      </c>
      <c r="H230" t="s">
        <v>1113</v>
      </c>
      <c r="I230">
        <v>2899</v>
      </c>
      <c r="J230">
        <v>1</v>
      </c>
      <c r="K230" t="s">
        <v>1647</v>
      </c>
      <c r="L230">
        <v>2899</v>
      </c>
      <c r="M230">
        <v>2319.1999999999998</v>
      </c>
      <c r="N230" t="s">
        <v>1101</v>
      </c>
      <c r="O230">
        <v>20</v>
      </c>
      <c r="P230">
        <v>579.79999999999995</v>
      </c>
      <c r="Q230" t="s">
        <v>70</v>
      </c>
      <c r="R230" t="s">
        <v>31</v>
      </c>
      <c r="S230" t="s">
        <v>624</v>
      </c>
      <c r="T230" t="s">
        <v>136</v>
      </c>
      <c r="U230" t="s">
        <v>47</v>
      </c>
      <c r="V230" s="4">
        <v>45635</v>
      </c>
      <c r="W230" t="s">
        <v>1648</v>
      </c>
      <c r="X230" t="s">
        <v>1650</v>
      </c>
      <c r="Y230" t="s">
        <v>35</v>
      </c>
      <c r="Z230" t="s">
        <v>49</v>
      </c>
      <c r="AA230" t="s">
        <v>50</v>
      </c>
      <c r="AB230" s="4">
        <v>45656</v>
      </c>
      <c r="AC230" t="s">
        <v>1652</v>
      </c>
      <c r="AD230" t="s">
        <v>1653</v>
      </c>
      <c r="AE230" t="s">
        <v>52</v>
      </c>
    </row>
    <row r="231" spans="1:31" x14ac:dyDescent="0.3">
      <c r="A231" t="s">
        <v>1114</v>
      </c>
      <c r="B231" s="4">
        <v>45628</v>
      </c>
      <c r="C231" t="s">
        <v>1646</v>
      </c>
      <c r="D231" t="s">
        <v>1115</v>
      </c>
      <c r="E231" t="s">
        <v>26</v>
      </c>
      <c r="F231" t="s">
        <v>1116</v>
      </c>
      <c r="G231" t="s">
        <v>28</v>
      </c>
      <c r="H231" t="s">
        <v>1117</v>
      </c>
      <c r="I231">
        <v>1599</v>
      </c>
      <c r="J231">
        <v>2</v>
      </c>
      <c r="K231" t="s">
        <v>1647</v>
      </c>
      <c r="L231">
        <v>3198</v>
      </c>
      <c r="M231">
        <v>3198</v>
      </c>
      <c r="O231">
        <v>0</v>
      </c>
      <c r="P231">
        <v>0</v>
      </c>
      <c r="Q231" t="s">
        <v>45</v>
      </c>
      <c r="R231" t="s">
        <v>46</v>
      </c>
      <c r="S231" t="s">
        <v>1118</v>
      </c>
      <c r="T231" t="s">
        <v>1119</v>
      </c>
      <c r="U231" t="s">
        <v>47</v>
      </c>
      <c r="V231" s="4">
        <v>45635</v>
      </c>
      <c r="W231" t="s">
        <v>1648</v>
      </c>
      <c r="X231" t="s">
        <v>1650</v>
      </c>
      <c r="Y231" t="s">
        <v>35</v>
      </c>
      <c r="Z231" t="s">
        <v>36</v>
      </c>
      <c r="AB231" s="4"/>
      <c r="AC231" t="s">
        <v>1649</v>
      </c>
      <c r="AD231" t="s">
        <v>1651</v>
      </c>
      <c r="AE231" t="s">
        <v>37</v>
      </c>
    </row>
    <row r="232" spans="1:31" x14ac:dyDescent="0.3">
      <c r="A232" t="s">
        <v>1120</v>
      </c>
      <c r="B232" s="4">
        <v>45628</v>
      </c>
      <c r="C232" t="s">
        <v>1646</v>
      </c>
      <c r="D232" t="s">
        <v>1121</v>
      </c>
      <c r="E232" t="s">
        <v>26</v>
      </c>
      <c r="F232" t="s">
        <v>1122</v>
      </c>
      <c r="G232" t="s">
        <v>58</v>
      </c>
      <c r="H232" t="s">
        <v>1123</v>
      </c>
      <c r="I232">
        <v>1799</v>
      </c>
      <c r="J232">
        <v>1</v>
      </c>
      <c r="K232" t="s">
        <v>1647</v>
      </c>
      <c r="L232">
        <v>1799</v>
      </c>
      <c r="M232">
        <v>1439.2</v>
      </c>
      <c r="N232" t="s">
        <v>1101</v>
      </c>
      <c r="O232">
        <v>20</v>
      </c>
      <c r="P232">
        <v>359.8</v>
      </c>
      <c r="Q232" t="s">
        <v>128</v>
      </c>
      <c r="R232" t="s">
        <v>71</v>
      </c>
      <c r="S232" t="s">
        <v>1124</v>
      </c>
      <c r="T232" t="s">
        <v>1125</v>
      </c>
      <c r="U232" t="s">
        <v>47</v>
      </c>
      <c r="V232" s="4">
        <v>45636</v>
      </c>
      <c r="W232" t="s">
        <v>1648</v>
      </c>
      <c r="X232" t="s">
        <v>1650</v>
      </c>
      <c r="Y232" t="s">
        <v>35</v>
      </c>
      <c r="Z232" t="s">
        <v>36</v>
      </c>
      <c r="AB232" s="4"/>
      <c r="AC232" t="s">
        <v>1649</v>
      </c>
      <c r="AD232" t="s">
        <v>1651</v>
      </c>
      <c r="AE232" t="s">
        <v>37</v>
      </c>
    </row>
    <row r="233" spans="1:31" x14ac:dyDescent="0.3">
      <c r="A233" t="s">
        <v>1126</v>
      </c>
      <c r="B233" s="4">
        <v>45628</v>
      </c>
      <c r="C233" t="s">
        <v>1646</v>
      </c>
      <c r="D233" t="s">
        <v>1127</v>
      </c>
      <c r="E233" t="s">
        <v>26</v>
      </c>
      <c r="F233" t="s">
        <v>495</v>
      </c>
      <c r="G233" t="s">
        <v>67</v>
      </c>
      <c r="H233" t="s">
        <v>496</v>
      </c>
      <c r="I233">
        <v>3299</v>
      </c>
      <c r="J233">
        <v>1</v>
      </c>
      <c r="K233" t="s">
        <v>1647</v>
      </c>
      <c r="L233">
        <v>3299</v>
      </c>
      <c r="M233">
        <v>3299</v>
      </c>
      <c r="O233">
        <v>0</v>
      </c>
      <c r="P233">
        <v>0</v>
      </c>
      <c r="Q233" t="s">
        <v>30</v>
      </c>
      <c r="R233" t="s">
        <v>31</v>
      </c>
      <c r="S233" t="s">
        <v>1128</v>
      </c>
      <c r="T233" t="s">
        <v>1129</v>
      </c>
      <c r="U233" t="s">
        <v>47</v>
      </c>
      <c r="V233" s="4">
        <v>45637</v>
      </c>
      <c r="W233" t="s">
        <v>1648</v>
      </c>
      <c r="X233" t="s">
        <v>1650</v>
      </c>
      <c r="Y233" t="s">
        <v>35</v>
      </c>
      <c r="Z233" t="s">
        <v>49</v>
      </c>
      <c r="AA233" t="s">
        <v>119</v>
      </c>
      <c r="AB233" s="4">
        <v>45659</v>
      </c>
      <c r="AC233" t="s">
        <v>1652</v>
      </c>
      <c r="AD233" t="s">
        <v>1653</v>
      </c>
      <c r="AE233" t="s">
        <v>121</v>
      </c>
    </row>
    <row r="234" spans="1:31" x14ac:dyDescent="0.3">
      <c r="A234" t="s">
        <v>1130</v>
      </c>
      <c r="B234" s="4">
        <v>45628</v>
      </c>
      <c r="C234" t="s">
        <v>1646</v>
      </c>
      <c r="D234" t="s">
        <v>1131</v>
      </c>
      <c r="E234" t="s">
        <v>40</v>
      </c>
      <c r="F234" t="s">
        <v>1132</v>
      </c>
      <c r="G234" t="s">
        <v>79</v>
      </c>
      <c r="H234" t="s">
        <v>1133</v>
      </c>
      <c r="I234">
        <v>599</v>
      </c>
      <c r="J234">
        <v>2</v>
      </c>
      <c r="K234" t="s">
        <v>1647</v>
      </c>
      <c r="L234">
        <v>1198</v>
      </c>
      <c r="M234">
        <v>958.4</v>
      </c>
      <c r="N234" t="s">
        <v>1101</v>
      </c>
      <c r="O234">
        <v>20</v>
      </c>
      <c r="P234">
        <v>239.6</v>
      </c>
      <c r="Q234" t="s">
        <v>60</v>
      </c>
      <c r="R234" t="s">
        <v>46</v>
      </c>
      <c r="S234" t="s">
        <v>1134</v>
      </c>
      <c r="T234" t="s">
        <v>1119</v>
      </c>
      <c r="U234" t="s">
        <v>47</v>
      </c>
      <c r="V234" s="4">
        <v>45636</v>
      </c>
      <c r="W234" t="s">
        <v>1648</v>
      </c>
      <c r="X234" t="s">
        <v>1650</v>
      </c>
      <c r="Y234" t="s">
        <v>35</v>
      </c>
      <c r="Z234" t="s">
        <v>36</v>
      </c>
      <c r="AB234" s="4"/>
      <c r="AC234" t="s">
        <v>1649</v>
      </c>
      <c r="AD234" t="s">
        <v>1651</v>
      </c>
      <c r="AE234" t="s">
        <v>37</v>
      </c>
    </row>
    <row r="235" spans="1:31" x14ac:dyDescent="0.3">
      <c r="A235" t="s">
        <v>1135</v>
      </c>
      <c r="B235" s="4">
        <v>45629</v>
      </c>
      <c r="C235" t="s">
        <v>1646</v>
      </c>
      <c r="D235" t="s">
        <v>1136</v>
      </c>
      <c r="E235" t="s">
        <v>26</v>
      </c>
      <c r="F235" t="s">
        <v>1137</v>
      </c>
      <c r="G235" t="s">
        <v>28</v>
      </c>
      <c r="H235" t="s">
        <v>1138</v>
      </c>
      <c r="I235">
        <v>2199</v>
      </c>
      <c r="J235">
        <v>1</v>
      </c>
      <c r="K235" t="s">
        <v>1647</v>
      </c>
      <c r="L235">
        <v>2199</v>
      </c>
      <c r="M235">
        <v>2199</v>
      </c>
      <c r="O235">
        <v>0</v>
      </c>
      <c r="P235">
        <v>0</v>
      </c>
      <c r="Q235" t="s">
        <v>70</v>
      </c>
      <c r="R235" t="s">
        <v>71</v>
      </c>
      <c r="S235" t="s">
        <v>1139</v>
      </c>
      <c r="T235" t="s">
        <v>102</v>
      </c>
      <c r="U235" t="s">
        <v>47</v>
      </c>
      <c r="V235" s="4">
        <v>45638</v>
      </c>
      <c r="W235" t="s">
        <v>1648</v>
      </c>
      <c r="X235" t="s">
        <v>1650</v>
      </c>
      <c r="Y235" t="s">
        <v>35</v>
      </c>
      <c r="Z235" t="s">
        <v>49</v>
      </c>
      <c r="AA235" t="s">
        <v>50</v>
      </c>
      <c r="AB235" s="4">
        <v>45660</v>
      </c>
      <c r="AC235" t="s">
        <v>1652</v>
      </c>
      <c r="AD235" t="s">
        <v>1653</v>
      </c>
      <c r="AE235" t="s">
        <v>52</v>
      </c>
    </row>
    <row r="236" spans="1:31" x14ac:dyDescent="0.3">
      <c r="A236" t="s">
        <v>1140</v>
      </c>
      <c r="B236" s="4">
        <v>45629</v>
      </c>
      <c r="C236" t="s">
        <v>1646</v>
      </c>
      <c r="D236" t="s">
        <v>1141</v>
      </c>
      <c r="E236" t="s">
        <v>26</v>
      </c>
      <c r="F236" t="s">
        <v>1142</v>
      </c>
      <c r="G236" t="s">
        <v>42</v>
      </c>
      <c r="H236" t="s">
        <v>310</v>
      </c>
      <c r="I236">
        <v>2499</v>
      </c>
      <c r="J236">
        <v>1</v>
      </c>
      <c r="K236" t="s">
        <v>1647</v>
      </c>
      <c r="L236">
        <v>2499</v>
      </c>
      <c r="M236">
        <v>1999.2</v>
      </c>
      <c r="N236" t="s">
        <v>1101</v>
      </c>
      <c r="O236">
        <v>20</v>
      </c>
      <c r="P236">
        <v>499.8</v>
      </c>
      <c r="Q236" t="s">
        <v>45</v>
      </c>
      <c r="R236" t="s">
        <v>31</v>
      </c>
      <c r="S236" t="s">
        <v>1143</v>
      </c>
      <c r="T236" t="s">
        <v>1144</v>
      </c>
      <c r="U236" t="s">
        <v>47</v>
      </c>
      <c r="V236" s="4">
        <v>45638</v>
      </c>
      <c r="W236" t="s">
        <v>1648</v>
      </c>
      <c r="X236" t="s">
        <v>1650</v>
      </c>
      <c r="Y236" t="s">
        <v>35</v>
      </c>
      <c r="Z236" t="s">
        <v>36</v>
      </c>
      <c r="AB236" s="4"/>
      <c r="AC236" t="s">
        <v>1649</v>
      </c>
      <c r="AD236" t="s">
        <v>1651</v>
      </c>
      <c r="AE236" t="s">
        <v>37</v>
      </c>
    </row>
    <row r="237" spans="1:31" x14ac:dyDescent="0.3">
      <c r="A237" t="s">
        <v>1145</v>
      </c>
      <c r="B237" s="4">
        <v>45629</v>
      </c>
      <c r="C237" t="s">
        <v>1646</v>
      </c>
      <c r="D237" t="s">
        <v>1146</v>
      </c>
      <c r="E237" t="s">
        <v>26</v>
      </c>
      <c r="F237" t="s">
        <v>1147</v>
      </c>
      <c r="G237" t="s">
        <v>58</v>
      </c>
      <c r="H237" t="s">
        <v>1148</v>
      </c>
      <c r="I237">
        <v>2999</v>
      </c>
      <c r="J237">
        <v>1</v>
      </c>
      <c r="K237" t="s">
        <v>1647</v>
      </c>
      <c r="L237">
        <v>2999</v>
      </c>
      <c r="M237">
        <v>2999</v>
      </c>
      <c r="O237">
        <v>0</v>
      </c>
      <c r="P237">
        <v>0</v>
      </c>
      <c r="Q237" t="s">
        <v>30</v>
      </c>
      <c r="R237" t="s">
        <v>46</v>
      </c>
      <c r="S237" t="s">
        <v>1149</v>
      </c>
      <c r="T237" t="s">
        <v>1150</v>
      </c>
      <c r="U237" t="s">
        <v>47</v>
      </c>
      <c r="V237" s="4">
        <v>45640</v>
      </c>
      <c r="W237" t="s">
        <v>1648</v>
      </c>
      <c r="X237" t="s">
        <v>1650</v>
      </c>
      <c r="Y237" t="s">
        <v>35</v>
      </c>
      <c r="Z237" t="s">
        <v>49</v>
      </c>
      <c r="AA237" t="s">
        <v>75</v>
      </c>
      <c r="AB237" s="4">
        <v>45662</v>
      </c>
      <c r="AC237" t="s">
        <v>1652</v>
      </c>
      <c r="AD237" t="s">
        <v>1653</v>
      </c>
      <c r="AE237" t="s">
        <v>52</v>
      </c>
    </row>
    <row r="238" spans="1:31" x14ac:dyDescent="0.3">
      <c r="A238" t="s">
        <v>1151</v>
      </c>
      <c r="B238" s="4">
        <v>45629</v>
      </c>
      <c r="C238" t="s">
        <v>1646</v>
      </c>
      <c r="D238" t="s">
        <v>1152</v>
      </c>
      <c r="E238" t="s">
        <v>26</v>
      </c>
      <c r="F238" t="s">
        <v>1153</v>
      </c>
      <c r="G238" t="s">
        <v>67</v>
      </c>
      <c r="H238" t="s">
        <v>1154</v>
      </c>
      <c r="I238">
        <v>7999</v>
      </c>
      <c r="J238">
        <v>1</v>
      </c>
      <c r="K238" t="s">
        <v>1647</v>
      </c>
      <c r="L238">
        <v>7999</v>
      </c>
      <c r="M238">
        <v>6399.2</v>
      </c>
      <c r="N238" t="s">
        <v>1101</v>
      </c>
      <c r="O238">
        <v>20</v>
      </c>
      <c r="P238">
        <v>1599.8</v>
      </c>
      <c r="Q238" t="s">
        <v>128</v>
      </c>
      <c r="R238" t="s">
        <v>71</v>
      </c>
      <c r="S238" t="s">
        <v>1155</v>
      </c>
      <c r="T238" t="s">
        <v>1156</v>
      </c>
      <c r="U238" t="s">
        <v>47</v>
      </c>
      <c r="V238" s="4">
        <v>45640</v>
      </c>
      <c r="W238" t="s">
        <v>1648</v>
      </c>
      <c r="X238" t="s">
        <v>1650</v>
      </c>
      <c r="Y238" t="s">
        <v>35</v>
      </c>
      <c r="Z238" t="s">
        <v>36</v>
      </c>
      <c r="AB238" s="4"/>
      <c r="AC238" t="s">
        <v>1649</v>
      </c>
      <c r="AD238" t="s">
        <v>1651</v>
      </c>
      <c r="AE238" t="s">
        <v>37</v>
      </c>
    </row>
    <row r="239" spans="1:31" x14ac:dyDescent="0.3">
      <c r="A239" t="s">
        <v>1157</v>
      </c>
      <c r="B239" s="4">
        <v>45630</v>
      </c>
      <c r="C239" t="s">
        <v>1646</v>
      </c>
      <c r="D239" t="s">
        <v>1158</v>
      </c>
      <c r="E239" t="s">
        <v>40</v>
      </c>
      <c r="F239" t="s">
        <v>1159</v>
      </c>
      <c r="G239" t="s">
        <v>28</v>
      </c>
      <c r="H239" t="s">
        <v>1160</v>
      </c>
      <c r="I239">
        <v>1999</v>
      </c>
      <c r="J239">
        <v>1</v>
      </c>
      <c r="K239" t="s">
        <v>1647</v>
      </c>
      <c r="L239">
        <v>1999</v>
      </c>
      <c r="M239">
        <v>1999</v>
      </c>
      <c r="O239">
        <v>0</v>
      </c>
      <c r="P239">
        <v>0</v>
      </c>
      <c r="Q239" t="s">
        <v>45</v>
      </c>
      <c r="R239" t="s">
        <v>31</v>
      </c>
      <c r="S239" t="s">
        <v>1161</v>
      </c>
      <c r="T239" t="s">
        <v>73</v>
      </c>
      <c r="U239" t="s">
        <v>61</v>
      </c>
      <c r="V239" s="4">
        <v>45639</v>
      </c>
      <c r="W239" t="s">
        <v>1648</v>
      </c>
      <c r="X239" t="s">
        <v>1650</v>
      </c>
      <c r="Y239" t="s">
        <v>35</v>
      </c>
      <c r="Z239" t="s">
        <v>36</v>
      </c>
      <c r="AB239" s="4"/>
      <c r="AC239" t="s">
        <v>1649</v>
      </c>
      <c r="AD239" t="s">
        <v>1651</v>
      </c>
      <c r="AE239" t="s">
        <v>37</v>
      </c>
    </row>
    <row r="240" spans="1:31" x14ac:dyDescent="0.3">
      <c r="A240" t="s">
        <v>1162</v>
      </c>
      <c r="B240" s="4">
        <v>45630</v>
      </c>
      <c r="C240" t="s">
        <v>1646</v>
      </c>
      <c r="D240" t="s">
        <v>1163</v>
      </c>
      <c r="E240" t="s">
        <v>26</v>
      </c>
      <c r="F240" t="s">
        <v>1164</v>
      </c>
      <c r="G240" t="s">
        <v>79</v>
      </c>
      <c r="H240" t="s">
        <v>1165</v>
      </c>
      <c r="I240">
        <v>499</v>
      </c>
      <c r="J240">
        <v>2</v>
      </c>
      <c r="K240" t="s">
        <v>1647</v>
      </c>
      <c r="L240">
        <v>998</v>
      </c>
      <c r="M240">
        <v>798.4</v>
      </c>
      <c r="N240" t="s">
        <v>1101</v>
      </c>
      <c r="O240">
        <v>20</v>
      </c>
      <c r="P240">
        <v>199.6</v>
      </c>
      <c r="Q240" t="s">
        <v>60</v>
      </c>
      <c r="R240" t="s">
        <v>46</v>
      </c>
      <c r="S240" t="s">
        <v>1166</v>
      </c>
      <c r="T240" t="s">
        <v>209</v>
      </c>
      <c r="U240" t="s">
        <v>61</v>
      </c>
      <c r="V240" s="4">
        <v>45639</v>
      </c>
      <c r="W240" t="s">
        <v>1648</v>
      </c>
      <c r="X240" t="s">
        <v>1650</v>
      </c>
      <c r="Y240" t="s">
        <v>35</v>
      </c>
      <c r="Z240" t="s">
        <v>36</v>
      </c>
      <c r="AB240" s="4"/>
      <c r="AC240" t="s">
        <v>1649</v>
      </c>
      <c r="AD240" t="s">
        <v>1651</v>
      </c>
      <c r="AE240" t="s">
        <v>37</v>
      </c>
    </row>
    <row r="241" spans="1:31" x14ac:dyDescent="0.3">
      <c r="A241" t="s">
        <v>1167</v>
      </c>
      <c r="B241" s="4">
        <v>45630</v>
      </c>
      <c r="C241" t="s">
        <v>1646</v>
      </c>
      <c r="D241" t="s">
        <v>1168</v>
      </c>
      <c r="E241" t="s">
        <v>26</v>
      </c>
      <c r="F241" t="s">
        <v>1169</v>
      </c>
      <c r="G241" t="s">
        <v>42</v>
      </c>
      <c r="H241" t="s">
        <v>1170</v>
      </c>
      <c r="I241">
        <v>4999</v>
      </c>
      <c r="J241">
        <v>1</v>
      </c>
      <c r="K241" t="s">
        <v>1647</v>
      </c>
      <c r="L241">
        <v>4999</v>
      </c>
      <c r="M241">
        <v>4999</v>
      </c>
      <c r="O241">
        <v>0</v>
      </c>
      <c r="P241">
        <v>0</v>
      </c>
      <c r="Q241" t="s">
        <v>70</v>
      </c>
      <c r="R241" t="s">
        <v>71</v>
      </c>
      <c r="S241" t="s">
        <v>1171</v>
      </c>
      <c r="T241" t="s">
        <v>1171</v>
      </c>
      <c r="U241" t="s">
        <v>32</v>
      </c>
      <c r="V241" s="4">
        <v>45640</v>
      </c>
      <c r="W241" t="s">
        <v>1648</v>
      </c>
      <c r="X241" t="s">
        <v>1650</v>
      </c>
      <c r="Y241" t="s">
        <v>35</v>
      </c>
      <c r="Z241" t="s">
        <v>49</v>
      </c>
      <c r="AA241" t="s">
        <v>50</v>
      </c>
      <c r="AB241" s="4">
        <v>45663</v>
      </c>
      <c r="AC241" t="s">
        <v>1652</v>
      </c>
      <c r="AD241" t="s">
        <v>1653</v>
      </c>
      <c r="AE241" t="s">
        <v>52</v>
      </c>
    </row>
    <row r="242" spans="1:31" x14ac:dyDescent="0.3">
      <c r="A242" t="s">
        <v>1172</v>
      </c>
      <c r="B242" s="4">
        <v>45630</v>
      </c>
      <c r="C242" t="s">
        <v>1646</v>
      </c>
      <c r="D242" t="s">
        <v>1173</v>
      </c>
      <c r="E242" t="s">
        <v>26</v>
      </c>
      <c r="F242" t="s">
        <v>1174</v>
      </c>
      <c r="G242" t="s">
        <v>28</v>
      </c>
      <c r="H242" t="s">
        <v>1175</v>
      </c>
      <c r="I242">
        <v>2299</v>
      </c>
      <c r="J242">
        <v>1</v>
      </c>
      <c r="K242" t="s">
        <v>1647</v>
      </c>
      <c r="L242">
        <v>2299</v>
      </c>
      <c r="M242">
        <v>1839.2</v>
      </c>
      <c r="N242" t="s">
        <v>1101</v>
      </c>
      <c r="O242">
        <v>20</v>
      </c>
      <c r="P242">
        <v>459.8</v>
      </c>
      <c r="Q242" t="s">
        <v>30</v>
      </c>
      <c r="R242" t="s">
        <v>31</v>
      </c>
      <c r="S242" t="s">
        <v>32</v>
      </c>
      <c r="T242" t="s">
        <v>33</v>
      </c>
      <c r="U242" t="s">
        <v>32</v>
      </c>
      <c r="V242" s="4">
        <v>45639</v>
      </c>
      <c r="W242" t="s">
        <v>1648</v>
      </c>
      <c r="X242" t="s">
        <v>1650</v>
      </c>
      <c r="Y242" t="s">
        <v>35</v>
      </c>
      <c r="Z242" t="s">
        <v>36</v>
      </c>
      <c r="AB242" s="4"/>
      <c r="AC242" t="s">
        <v>1649</v>
      </c>
      <c r="AD242" t="s">
        <v>1651</v>
      </c>
      <c r="AE242" t="s">
        <v>37</v>
      </c>
    </row>
    <row r="243" spans="1:31" x14ac:dyDescent="0.3">
      <c r="A243" t="s">
        <v>1176</v>
      </c>
      <c r="B243" s="4">
        <v>45631</v>
      </c>
      <c r="C243" t="s">
        <v>1646</v>
      </c>
      <c r="D243" t="s">
        <v>1177</v>
      </c>
      <c r="E243" t="s">
        <v>26</v>
      </c>
      <c r="F243" t="s">
        <v>1178</v>
      </c>
      <c r="G243" t="s">
        <v>58</v>
      </c>
      <c r="H243" t="s">
        <v>866</v>
      </c>
      <c r="I243">
        <v>2599</v>
      </c>
      <c r="J243">
        <v>1</v>
      </c>
      <c r="K243" t="s">
        <v>1647</v>
      </c>
      <c r="L243">
        <v>2599</v>
      </c>
      <c r="M243">
        <v>2599</v>
      </c>
      <c r="O243">
        <v>0</v>
      </c>
      <c r="P243">
        <v>0</v>
      </c>
      <c r="Q243" t="s">
        <v>45</v>
      </c>
      <c r="R243" t="s">
        <v>46</v>
      </c>
      <c r="S243" t="s">
        <v>61</v>
      </c>
      <c r="T243" t="s">
        <v>62</v>
      </c>
      <c r="U243" t="s">
        <v>61</v>
      </c>
      <c r="V243" s="4">
        <v>45641</v>
      </c>
      <c r="W243" t="s">
        <v>1648</v>
      </c>
      <c r="X243" t="s">
        <v>1650</v>
      </c>
      <c r="Y243" t="s">
        <v>35</v>
      </c>
      <c r="Z243" t="s">
        <v>49</v>
      </c>
      <c r="AA243" t="s">
        <v>89</v>
      </c>
      <c r="AB243" s="4">
        <v>45665</v>
      </c>
      <c r="AC243" t="s">
        <v>1652</v>
      </c>
      <c r="AD243" t="s">
        <v>1653</v>
      </c>
      <c r="AE243" t="s">
        <v>52</v>
      </c>
    </row>
    <row r="244" spans="1:31" x14ac:dyDescent="0.3">
      <c r="A244" t="s">
        <v>1179</v>
      </c>
      <c r="B244" s="4">
        <v>45631</v>
      </c>
      <c r="C244" t="s">
        <v>1646</v>
      </c>
      <c r="D244" t="s">
        <v>1180</v>
      </c>
      <c r="E244" t="s">
        <v>40</v>
      </c>
      <c r="F244" t="s">
        <v>1181</v>
      </c>
      <c r="G244" t="s">
        <v>67</v>
      </c>
      <c r="H244" t="s">
        <v>1182</v>
      </c>
      <c r="I244">
        <v>8999</v>
      </c>
      <c r="J244">
        <v>1</v>
      </c>
      <c r="K244" t="s">
        <v>1647</v>
      </c>
      <c r="L244">
        <v>8999</v>
      </c>
      <c r="M244">
        <v>7199.2</v>
      </c>
      <c r="N244" t="s">
        <v>1101</v>
      </c>
      <c r="O244">
        <v>20</v>
      </c>
      <c r="P244">
        <v>1799.8</v>
      </c>
      <c r="Q244" t="s">
        <v>128</v>
      </c>
      <c r="R244" t="s">
        <v>71</v>
      </c>
      <c r="S244" t="s">
        <v>47</v>
      </c>
      <c r="T244" t="s">
        <v>47</v>
      </c>
      <c r="U244" t="s">
        <v>47</v>
      </c>
      <c r="V244" s="4">
        <v>45643</v>
      </c>
      <c r="W244" t="s">
        <v>1648</v>
      </c>
      <c r="X244" t="s">
        <v>1650</v>
      </c>
      <c r="Y244" t="s">
        <v>35</v>
      </c>
      <c r="Z244" t="s">
        <v>49</v>
      </c>
      <c r="AA244" t="s">
        <v>50</v>
      </c>
      <c r="AB244" s="4">
        <v>45667</v>
      </c>
      <c r="AC244" t="s">
        <v>1652</v>
      </c>
      <c r="AD244" t="s">
        <v>1653</v>
      </c>
      <c r="AE244" t="s">
        <v>121</v>
      </c>
    </row>
    <row r="245" spans="1:31" x14ac:dyDescent="0.3">
      <c r="A245" t="s">
        <v>1183</v>
      </c>
      <c r="B245" s="4">
        <v>45631</v>
      </c>
      <c r="C245" t="s">
        <v>1646</v>
      </c>
      <c r="D245" t="s">
        <v>1184</v>
      </c>
      <c r="E245" t="s">
        <v>26</v>
      </c>
      <c r="F245" t="s">
        <v>412</v>
      </c>
      <c r="G245" t="s">
        <v>79</v>
      </c>
      <c r="H245" t="s">
        <v>1185</v>
      </c>
      <c r="I245">
        <v>1799</v>
      </c>
      <c r="J245">
        <v>1</v>
      </c>
      <c r="K245" t="s">
        <v>1647</v>
      </c>
      <c r="L245">
        <v>1799</v>
      </c>
      <c r="M245">
        <v>1799</v>
      </c>
      <c r="O245">
        <v>0</v>
      </c>
      <c r="P245">
        <v>0</v>
      </c>
      <c r="Q245" t="s">
        <v>30</v>
      </c>
      <c r="R245" t="s">
        <v>31</v>
      </c>
      <c r="S245" t="s">
        <v>86</v>
      </c>
      <c r="T245" t="s">
        <v>87</v>
      </c>
      <c r="U245" t="s">
        <v>61</v>
      </c>
      <c r="V245" s="4">
        <v>45642</v>
      </c>
      <c r="W245" t="s">
        <v>1648</v>
      </c>
      <c r="X245" t="s">
        <v>1650</v>
      </c>
      <c r="Y245" t="s">
        <v>35</v>
      </c>
      <c r="Z245" t="s">
        <v>36</v>
      </c>
      <c r="AB245" s="4"/>
      <c r="AC245" t="s">
        <v>1649</v>
      </c>
      <c r="AD245" t="s">
        <v>1651</v>
      </c>
      <c r="AE245" t="s">
        <v>37</v>
      </c>
    </row>
    <row r="246" spans="1:31" x14ac:dyDescent="0.3">
      <c r="A246" t="s">
        <v>1186</v>
      </c>
      <c r="B246" s="4">
        <v>45631</v>
      </c>
      <c r="C246" t="s">
        <v>1646</v>
      </c>
      <c r="D246" t="s">
        <v>1187</v>
      </c>
      <c r="E246" t="s">
        <v>26</v>
      </c>
      <c r="F246" t="s">
        <v>1188</v>
      </c>
      <c r="G246" t="s">
        <v>28</v>
      </c>
      <c r="H246" t="s">
        <v>1189</v>
      </c>
      <c r="I246">
        <v>2199</v>
      </c>
      <c r="J246">
        <v>1</v>
      </c>
      <c r="K246" t="s">
        <v>1647</v>
      </c>
      <c r="L246">
        <v>2199</v>
      </c>
      <c r="M246">
        <v>2199</v>
      </c>
      <c r="O246">
        <v>0</v>
      </c>
      <c r="P246">
        <v>0</v>
      </c>
      <c r="Q246" t="s">
        <v>70</v>
      </c>
      <c r="R246" t="s">
        <v>46</v>
      </c>
      <c r="S246" t="s">
        <v>72</v>
      </c>
      <c r="T246" t="s">
        <v>73</v>
      </c>
      <c r="U246" t="s">
        <v>61</v>
      </c>
      <c r="V246" s="4">
        <v>45642</v>
      </c>
      <c r="W246" t="s">
        <v>1648</v>
      </c>
      <c r="X246" t="s">
        <v>1650</v>
      </c>
      <c r="Y246" t="s">
        <v>35</v>
      </c>
      <c r="Z246" t="s">
        <v>36</v>
      </c>
      <c r="AB246" s="4"/>
      <c r="AC246" t="s">
        <v>1649</v>
      </c>
      <c r="AD246" t="s">
        <v>1651</v>
      </c>
      <c r="AE246" t="s">
        <v>37</v>
      </c>
    </row>
    <row r="247" spans="1:31" x14ac:dyDescent="0.3">
      <c r="A247" t="s">
        <v>1190</v>
      </c>
      <c r="B247" s="4">
        <v>45632</v>
      </c>
      <c r="C247" t="s">
        <v>1646</v>
      </c>
      <c r="D247" t="s">
        <v>1191</v>
      </c>
      <c r="E247" t="s">
        <v>26</v>
      </c>
      <c r="F247" t="s">
        <v>1192</v>
      </c>
      <c r="G247" t="s">
        <v>42</v>
      </c>
      <c r="H247" t="s">
        <v>1193</v>
      </c>
      <c r="I247">
        <v>3799</v>
      </c>
      <c r="J247">
        <v>1</v>
      </c>
      <c r="K247" t="s">
        <v>1647</v>
      </c>
      <c r="L247">
        <v>3799</v>
      </c>
      <c r="M247">
        <v>3039.2</v>
      </c>
      <c r="N247" t="s">
        <v>1101</v>
      </c>
      <c r="O247">
        <v>20</v>
      </c>
      <c r="P247">
        <v>759.8</v>
      </c>
      <c r="Q247" t="s">
        <v>60</v>
      </c>
      <c r="R247" t="s">
        <v>71</v>
      </c>
      <c r="S247" t="s">
        <v>95</v>
      </c>
      <c r="T247" t="s">
        <v>33</v>
      </c>
      <c r="U247" t="s">
        <v>32</v>
      </c>
      <c r="V247" s="4">
        <v>45644</v>
      </c>
      <c r="W247" t="s">
        <v>1648</v>
      </c>
      <c r="X247" t="s">
        <v>1650</v>
      </c>
      <c r="Y247" t="s">
        <v>35</v>
      </c>
      <c r="Z247" t="s">
        <v>49</v>
      </c>
      <c r="AA247" t="s">
        <v>75</v>
      </c>
      <c r="AB247" s="4">
        <v>45669</v>
      </c>
      <c r="AC247" t="s">
        <v>1652</v>
      </c>
      <c r="AD247" t="s">
        <v>1653</v>
      </c>
      <c r="AE247" t="s">
        <v>52</v>
      </c>
    </row>
    <row r="248" spans="1:31" x14ac:dyDescent="0.3">
      <c r="A248" t="s">
        <v>1194</v>
      </c>
      <c r="B248" s="4">
        <v>45632</v>
      </c>
      <c r="C248" t="s">
        <v>1646</v>
      </c>
      <c r="D248" t="s">
        <v>1195</v>
      </c>
      <c r="E248" t="s">
        <v>26</v>
      </c>
      <c r="F248" t="s">
        <v>1196</v>
      </c>
      <c r="G248" t="s">
        <v>58</v>
      </c>
      <c r="H248" t="s">
        <v>1197</v>
      </c>
      <c r="I248">
        <v>2899</v>
      </c>
      <c r="J248">
        <v>1</v>
      </c>
      <c r="K248" t="s">
        <v>1647</v>
      </c>
      <c r="L248">
        <v>2899</v>
      </c>
      <c r="M248">
        <v>2899</v>
      </c>
      <c r="O248">
        <v>0</v>
      </c>
      <c r="P248">
        <v>0</v>
      </c>
      <c r="Q248" t="s">
        <v>45</v>
      </c>
      <c r="R248" t="s">
        <v>31</v>
      </c>
      <c r="S248" t="s">
        <v>101</v>
      </c>
      <c r="T248" t="s">
        <v>102</v>
      </c>
      <c r="U248" t="s">
        <v>47</v>
      </c>
      <c r="V248" s="4">
        <v>45644</v>
      </c>
      <c r="W248" t="s">
        <v>1648</v>
      </c>
      <c r="X248" t="s">
        <v>1650</v>
      </c>
      <c r="Y248" t="s">
        <v>35</v>
      </c>
      <c r="Z248" t="s">
        <v>36</v>
      </c>
      <c r="AB248" s="4"/>
      <c r="AC248" t="s">
        <v>1649</v>
      </c>
      <c r="AD248" t="s">
        <v>1651</v>
      </c>
      <c r="AE248" t="s">
        <v>37</v>
      </c>
    </row>
    <row r="249" spans="1:31" x14ac:dyDescent="0.3">
      <c r="A249" t="s">
        <v>1198</v>
      </c>
      <c r="B249" s="4">
        <v>45632</v>
      </c>
      <c r="C249" t="s">
        <v>1646</v>
      </c>
      <c r="D249" t="s">
        <v>1199</v>
      </c>
      <c r="E249" t="s">
        <v>40</v>
      </c>
      <c r="F249" t="s">
        <v>562</v>
      </c>
      <c r="G249" t="s">
        <v>67</v>
      </c>
      <c r="H249" t="s">
        <v>1200</v>
      </c>
      <c r="I249">
        <v>4599</v>
      </c>
      <c r="J249">
        <v>1</v>
      </c>
      <c r="K249" t="s">
        <v>1647</v>
      </c>
      <c r="L249">
        <v>4599</v>
      </c>
      <c r="M249">
        <v>3679.2</v>
      </c>
      <c r="N249" t="s">
        <v>1101</v>
      </c>
      <c r="O249">
        <v>20</v>
      </c>
      <c r="P249">
        <v>919.8</v>
      </c>
      <c r="Q249" t="s">
        <v>30</v>
      </c>
      <c r="R249" t="s">
        <v>46</v>
      </c>
      <c r="S249" t="s">
        <v>116</v>
      </c>
      <c r="T249" t="s">
        <v>117</v>
      </c>
      <c r="U249" t="s">
        <v>47</v>
      </c>
      <c r="V249" s="4">
        <v>45645</v>
      </c>
      <c r="W249" t="s">
        <v>1648</v>
      </c>
      <c r="X249" t="s">
        <v>1650</v>
      </c>
      <c r="Y249" t="s">
        <v>35</v>
      </c>
      <c r="Z249" t="s">
        <v>49</v>
      </c>
      <c r="AA249" t="s">
        <v>50</v>
      </c>
      <c r="AB249" s="4">
        <v>45671</v>
      </c>
      <c r="AC249" t="s">
        <v>1652</v>
      </c>
      <c r="AD249" t="s">
        <v>1653</v>
      </c>
      <c r="AE249" t="s">
        <v>52</v>
      </c>
    </row>
    <row r="250" spans="1:31" x14ac:dyDescent="0.3">
      <c r="A250" t="s">
        <v>1201</v>
      </c>
      <c r="B250" s="4">
        <v>45632</v>
      </c>
      <c r="C250" t="s">
        <v>1646</v>
      </c>
      <c r="D250" t="s">
        <v>1202</v>
      </c>
      <c r="E250" t="s">
        <v>26</v>
      </c>
      <c r="F250" t="s">
        <v>1203</v>
      </c>
      <c r="G250" t="s">
        <v>79</v>
      </c>
      <c r="H250" t="s">
        <v>1204</v>
      </c>
      <c r="I250">
        <v>2499</v>
      </c>
      <c r="J250">
        <v>1</v>
      </c>
      <c r="K250" t="s">
        <v>1647</v>
      </c>
      <c r="L250">
        <v>2499</v>
      </c>
      <c r="M250">
        <v>2499</v>
      </c>
      <c r="O250">
        <v>0</v>
      </c>
      <c r="P250">
        <v>0</v>
      </c>
      <c r="Q250" t="s">
        <v>128</v>
      </c>
      <c r="R250" t="s">
        <v>71</v>
      </c>
      <c r="S250" t="s">
        <v>129</v>
      </c>
      <c r="T250" t="s">
        <v>130</v>
      </c>
      <c r="U250" t="s">
        <v>47</v>
      </c>
      <c r="V250" s="4">
        <v>45645</v>
      </c>
      <c r="W250" t="s">
        <v>1648</v>
      </c>
      <c r="X250" t="s">
        <v>1650</v>
      </c>
      <c r="Y250" t="s">
        <v>35</v>
      </c>
      <c r="Z250" t="s">
        <v>36</v>
      </c>
      <c r="AB250" s="4"/>
      <c r="AC250" t="s">
        <v>1649</v>
      </c>
      <c r="AD250" t="s">
        <v>1651</v>
      </c>
      <c r="AE250" t="s">
        <v>37</v>
      </c>
    </row>
    <row r="251" spans="1:31" x14ac:dyDescent="0.3">
      <c r="A251" t="s">
        <v>1205</v>
      </c>
      <c r="B251" s="4">
        <v>45633</v>
      </c>
      <c r="C251" t="s">
        <v>1646</v>
      </c>
      <c r="D251" t="s">
        <v>1206</v>
      </c>
      <c r="E251" t="s">
        <v>26</v>
      </c>
      <c r="F251" t="s">
        <v>1207</v>
      </c>
      <c r="G251" t="s">
        <v>28</v>
      </c>
      <c r="H251" t="s">
        <v>1208</v>
      </c>
      <c r="I251">
        <v>1899</v>
      </c>
      <c r="J251">
        <v>1</v>
      </c>
      <c r="K251" t="s">
        <v>1647</v>
      </c>
      <c r="L251">
        <v>1899</v>
      </c>
      <c r="M251">
        <v>1899</v>
      </c>
      <c r="O251">
        <v>0</v>
      </c>
      <c r="P251">
        <v>0</v>
      </c>
      <c r="Q251" t="s">
        <v>70</v>
      </c>
      <c r="R251" t="s">
        <v>31</v>
      </c>
      <c r="S251" t="s">
        <v>1171</v>
      </c>
      <c r="T251" t="s">
        <v>1171</v>
      </c>
      <c r="U251" t="s">
        <v>32</v>
      </c>
      <c r="V251" s="4"/>
      <c r="W251" t="s">
        <v>1656</v>
      </c>
      <c r="X251" t="s">
        <v>1657</v>
      </c>
      <c r="Y251" t="s">
        <v>137</v>
      </c>
      <c r="Z251" t="s">
        <v>36</v>
      </c>
      <c r="AB251" s="4"/>
      <c r="AC251" t="s">
        <v>1656</v>
      </c>
      <c r="AD251" t="s">
        <v>1651</v>
      </c>
      <c r="AE251" t="s">
        <v>37</v>
      </c>
    </row>
    <row r="252" spans="1:31" x14ac:dyDescent="0.3">
      <c r="A252" t="s">
        <v>1209</v>
      </c>
      <c r="B252" s="4">
        <v>45633</v>
      </c>
      <c r="C252" t="s">
        <v>1646</v>
      </c>
      <c r="D252" t="s">
        <v>1210</v>
      </c>
      <c r="E252" t="s">
        <v>26</v>
      </c>
      <c r="F252" t="s">
        <v>1211</v>
      </c>
      <c r="G252" t="s">
        <v>42</v>
      </c>
      <c r="H252" t="s">
        <v>1038</v>
      </c>
      <c r="I252">
        <v>3299</v>
      </c>
      <c r="J252">
        <v>1</v>
      </c>
      <c r="K252" t="s">
        <v>1647</v>
      </c>
      <c r="L252">
        <v>3299</v>
      </c>
      <c r="M252">
        <v>2639.2</v>
      </c>
      <c r="N252" t="s">
        <v>1101</v>
      </c>
      <c r="O252">
        <v>20</v>
      </c>
      <c r="P252">
        <v>659.8</v>
      </c>
      <c r="Q252" t="s">
        <v>45</v>
      </c>
      <c r="R252" t="s">
        <v>46</v>
      </c>
      <c r="S252" t="s">
        <v>32</v>
      </c>
      <c r="T252" t="s">
        <v>33</v>
      </c>
      <c r="U252" t="s">
        <v>32</v>
      </c>
      <c r="V252" s="4">
        <v>45646</v>
      </c>
      <c r="W252" t="s">
        <v>1648</v>
      </c>
      <c r="X252" t="s">
        <v>1650</v>
      </c>
      <c r="Y252" t="s">
        <v>35</v>
      </c>
      <c r="Z252" t="s">
        <v>36</v>
      </c>
      <c r="AB252" s="4"/>
      <c r="AC252" t="s">
        <v>1649</v>
      </c>
      <c r="AD252" t="s">
        <v>1651</v>
      </c>
      <c r="AE252" t="s">
        <v>37</v>
      </c>
    </row>
    <row r="253" spans="1:31" x14ac:dyDescent="0.3">
      <c r="A253" t="s">
        <v>1212</v>
      </c>
      <c r="B253" s="4">
        <v>45633</v>
      </c>
      <c r="C253" t="s">
        <v>1646</v>
      </c>
      <c r="D253" t="s">
        <v>1213</v>
      </c>
      <c r="E253" t="s">
        <v>26</v>
      </c>
      <c r="F253" t="s">
        <v>1214</v>
      </c>
      <c r="G253" t="s">
        <v>58</v>
      </c>
      <c r="H253" t="s">
        <v>1042</v>
      </c>
      <c r="I253">
        <v>2199</v>
      </c>
      <c r="J253">
        <v>1</v>
      </c>
      <c r="K253" t="s">
        <v>1647</v>
      </c>
      <c r="L253">
        <v>2199</v>
      </c>
      <c r="M253">
        <v>2199</v>
      </c>
      <c r="O253">
        <v>0</v>
      </c>
      <c r="P253">
        <v>0</v>
      </c>
      <c r="Q253" t="s">
        <v>60</v>
      </c>
      <c r="R253" t="s">
        <v>71</v>
      </c>
      <c r="S253" t="s">
        <v>47</v>
      </c>
      <c r="T253" t="s">
        <v>47</v>
      </c>
      <c r="U253" t="s">
        <v>47</v>
      </c>
      <c r="V253" s="4">
        <v>45647</v>
      </c>
      <c r="W253" t="s">
        <v>1648</v>
      </c>
      <c r="X253" t="s">
        <v>1650</v>
      </c>
      <c r="Y253" t="s">
        <v>35</v>
      </c>
      <c r="Z253" t="s">
        <v>49</v>
      </c>
      <c r="AA253" t="s">
        <v>158</v>
      </c>
      <c r="AB253" s="4">
        <v>45672</v>
      </c>
      <c r="AC253" t="s">
        <v>1652</v>
      </c>
      <c r="AD253" t="s">
        <v>1653</v>
      </c>
      <c r="AE253" t="s">
        <v>121</v>
      </c>
    </row>
    <row r="254" spans="1:31" x14ac:dyDescent="0.3">
      <c r="A254" t="s">
        <v>1216</v>
      </c>
      <c r="B254" s="4">
        <v>45633</v>
      </c>
      <c r="C254" t="s">
        <v>1646</v>
      </c>
      <c r="D254" t="s">
        <v>1217</v>
      </c>
      <c r="E254" t="s">
        <v>40</v>
      </c>
      <c r="F254" t="s">
        <v>1218</v>
      </c>
      <c r="G254" t="s">
        <v>67</v>
      </c>
      <c r="H254" t="s">
        <v>1219</v>
      </c>
      <c r="I254">
        <v>5499</v>
      </c>
      <c r="J254">
        <v>1</v>
      </c>
      <c r="K254" t="s">
        <v>1647</v>
      </c>
      <c r="L254">
        <v>5499</v>
      </c>
      <c r="M254">
        <v>4399.2</v>
      </c>
      <c r="N254" t="s">
        <v>1101</v>
      </c>
      <c r="O254">
        <v>20</v>
      </c>
      <c r="P254">
        <v>1099.8</v>
      </c>
      <c r="Q254" t="s">
        <v>30</v>
      </c>
      <c r="R254" t="s">
        <v>31</v>
      </c>
      <c r="S254" t="s">
        <v>61</v>
      </c>
      <c r="T254" t="s">
        <v>62</v>
      </c>
      <c r="U254" t="s">
        <v>61</v>
      </c>
      <c r="V254" s="4">
        <v>45647</v>
      </c>
      <c r="W254" t="s">
        <v>1648</v>
      </c>
      <c r="X254" t="s">
        <v>1650</v>
      </c>
      <c r="Y254" t="s">
        <v>35</v>
      </c>
      <c r="Z254" t="s">
        <v>36</v>
      </c>
      <c r="AB254" s="4"/>
      <c r="AC254" t="s">
        <v>1649</v>
      </c>
      <c r="AD254" t="s">
        <v>1651</v>
      </c>
      <c r="AE254" t="s">
        <v>37</v>
      </c>
    </row>
    <row r="255" spans="1:31" x14ac:dyDescent="0.3">
      <c r="A255" t="s">
        <v>1220</v>
      </c>
      <c r="B255" s="4">
        <v>45634</v>
      </c>
      <c r="C255" t="s">
        <v>1646</v>
      </c>
      <c r="D255" t="s">
        <v>1221</v>
      </c>
      <c r="E255" t="s">
        <v>26</v>
      </c>
      <c r="F255" t="s">
        <v>1222</v>
      </c>
      <c r="G255" t="s">
        <v>79</v>
      </c>
      <c r="H255" t="s">
        <v>1223</v>
      </c>
      <c r="I255">
        <v>999</v>
      </c>
      <c r="J255">
        <v>1</v>
      </c>
      <c r="K255" t="s">
        <v>1647</v>
      </c>
      <c r="L255">
        <v>999</v>
      </c>
      <c r="M255">
        <v>999</v>
      </c>
      <c r="O255">
        <v>0</v>
      </c>
      <c r="P255">
        <v>0</v>
      </c>
      <c r="Q255" t="s">
        <v>128</v>
      </c>
      <c r="R255" t="s">
        <v>46</v>
      </c>
      <c r="S255" t="s">
        <v>108</v>
      </c>
      <c r="T255" t="s">
        <v>109</v>
      </c>
      <c r="U255" t="s">
        <v>32</v>
      </c>
      <c r="V255" s="4">
        <v>45648</v>
      </c>
      <c r="W255" t="s">
        <v>1648</v>
      </c>
      <c r="X255" t="s">
        <v>1650</v>
      </c>
      <c r="Y255" t="s">
        <v>35</v>
      </c>
      <c r="Z255" t="s">
        <v>36</v>
      </c>
      <c r="AB255" s="4"/>
      <c r="AC255" t="s">
        <v>1649</v>
      </c>
      <c r="AD255" t="s">
        <v>1651</v>
      </c>
      <c r="AE255" t="s">
        <v>37</v>
      </c>
    </row>
    <row r="256" spans="1:31" x14ac:dyDescent="0.3">
      <c r="A256" t="s">
        <v>1224</v>
      </c>
      <c r="B256" s="4">
        <v>45634</v>
      </c>
      <c r="C256" t="s">
        <v>1646</v>
      </c>
      <c r="D256" t="s">
        <v>1225</v>
      </c>
      <c r="E256" t="s">
        <v>26</v>
      </c>
      <c r="F256" t="s">
        <v>293</v>
      </c>
      <c r="G256" t="s">
        <v>28</v>
      </c>
      <c r="H256" t="s">
        <v>294</v>
      </c>
      <c r="I256">
        <v>1699</v>
      </c>
      <c r="J256">
        <v>2</v>
      </c>
      <c r="K256" t="s">
        <v>1647</v>
      </c>
      <c r="L256">
        <v>3398</v>
      </c>
      <c r="M256">
        <v>3398</v>
      </c>
      <c r="O256">
        <v>0</v>
      </c>
      <c r="P256">
        <v>0</v>
      </c>
      <c r="Q256" t="s">
        <v>70</v>
      </c>
      <c r="R256" t="s">
        <v>71</v>
      </c>
      <c r="S256" t="s">
        <v>177</v>
      </c>
      <c r="T256" t="s">
        <v>109</v>
      </c>
      <c r="U256" t="s">
        <v>32</v>
      </c>
      <c r="V256" s="4">
        <v>45648</v>
      </c>
      <c r="W256" t="s">
        <v>1648</v>
      </c>
      <c r="X256" t="s">
        <v>1650</v>
      </c>
      <c r="Y256" t="s">
        <v>35</v>
      </c>
      <c r="Z256" t="s">
        <v>49</v>
      </c>
      <c r="AA256" t="s">
        <v>50</v>
      </c>
      <c r="AB256" s="4">
        <v>45673</v>
      </c>
      <c r="AC256" t="s">
        <v>1652</v>
      </c>
      <c r="AD256" t="s">
        <v>1653</v>
      </c>
      <c r="AE256" t="s">
        <v>52</v>
      </c>
    </row>
    <row r="257" spans="1:31" x14ac:dyDescent="0.3">
      <c r="A257" t="s">
        <v>1226</v>
      </c>
      <c r="B257" s="4">
        <v>45634</v>
      </c>
      <c r="C257" t="s">
        <v>1646</v>
      </c>
      <c r="D257" t="s">
        <v>1227</v>
      </c>
      <c r="E257" t="s">
        <v>26</v>
      </c>
      <c r="F257" t="s">
        <v>1228</v>
      </c>
      <c r="G257" t="s">
        <v>42</v>
      </c>
      <c r="H257" t="s">
        <v>1229</v>
      </c>
      <c r="I257">
        <v>2799</v>
      </c>
      <c r="J257">
        <v>1</v>
      </c>
      <c r="K257" t="s">
        <v>1647</v>
      </c>
      <c r="L257">
        <v>2799</v>
      </c>
      <c r="M257">
        <v>2239.1999999999998</v>
      </c>
      <c r="N257" t="s">
        <v>1101</v>
      </c>
      <c r="O257">
        <v>20</v>
      </c>
      <c r="P257">
        <v>559.79999999999995</v>
      </c>
      <c r="Q257" t="s">
        <v>45</v>
      </c>
      <c r="R257" t="s">
        <v>31</v>
      </c>
      <c r="S257" t="s">
        <v>233</v>
      </c>
      <c r="T257" t="s">
        <v>109</v>
      </c>
      <c r="U257" t="s">
        <v>32</v>
      </c>
      <c r="V257" s="4">
        <v>45649</v>
      </c>
      <c r="W257" t="s">
        <v>1648</v>
      </c>
      <c r="X257" t="s">
        <v>1650</v>
      </c>
      <c r="Y257" t="s">
        <v>35</v>
      </c>
      <c r="Z257" t="s">
        <v>49</v>
      </c>
      <c r="AA257" t="s">
        <v>119</v>
      </c>
      <c r="AB257" s="4">
        <v>45675</v>
      </c>
      <c r="AC257" t="s">
        <v>1652</v>
      </c>
      <c r="AD257" t="s">
        <v>1653</v>
      </c>
      <c r="AE257" t="s">
        <v>52</v>
      </c>
    </row>
    <row r="258" spans="1:31" x14ac:dyDescent="0.3">
      <c r="A258" t="s">
        <v>1231</v>
      </c>
      <c r="B258" s="4">
        <v>45634</v>
      </c>
      <c r="C258" t="s">
        <v>1646</v>
      </c>
      <c r="D258" t="s">
        <v>1232</v>
      </c>
      <c r="E258" t="s">
        <v>26</v>
      </c>
      <c r="F258" t="s">
        <v>1233</v>
      </c>
      <c r="G258" t="s">
        <v>58</v>
      </c>
      <c r="H258" t="s">
        <v>350</v>
      </c>
      <c r="I258">
        <v>2299</v>
      </c>
      <c r="J258">
        <v>1</v>
      </c>
      <c r="K258" t="s">
        <v>1647</v>
      </c>
      <c r="L258">
        <v>2299</v>
      </c>
      <c r="M258">
        <v>2299</v>
      </c>
      <c r="O258">
        <v>0</v>
      </c>
      <c r="P258">
        <v>0</v>
      </c>
      <c r="Q258" t="s">
        <v>30</v>
      </c>
      <c r="R258" t="s">
        <v>46</v>
      </c>
      <c r="S258" t="s">
        <v>238</v>
      </c>
      <c r="T258" t="s">
        <v>109</v>
      </c>
      <c r="U258" t="s">
        <v>32</v>
      </c>
      <c r="V258" s="4">
        <v>45649</v>
      </c>
      <c r="W258" t="s">
        <v>1648</v>
      </c>
      <c r="X258" t="s">
        <v>1650</v>
      </c>
      <c r="Y258" t="s">
        <v>35</v>
      </c>
      <c r="Z258" t="s">
        <v>36</v>
      </c>
      <c r="AB258" s="4"/>
      <c r="AC258" t="s">
        <v>1649</v>
      </c>
      <c r="AD258" t="s">
        <v>1651</v>
      </c>
      <c r="AE258" t="s">
        <v>37</v>
      </c>
    </row>
    <row r="259" spans="1:31" x14ac:dyDescent="0.3">
      <c r="A259" t="s">
        <v>1234</v>
      </c>
      <c r="B259" s="4">
        <v>45635</v>
      </c>
      <c r="C259" t="s">
        <v>1646</v>
      </c>
      <c r="D259" t="s">
        <v>1235</v>
      </c>
      <c r="E259" t="s">
        <v>40</v>
      </c>
      <c r="F259" t="s">
        <v>1236</v>
      </c>
      <c r="G259" t="s">
        <v>67</v>
      </c>
      <c r="H259" t="s">
        <v>1237</v>
      </c>
      <c r="I259">
        <v>5999</v>
      </c>
      <c r="J259">
        <v>1</v>
      </c>
      <c r="K259" t="s">
        <v>1647</v>
      </c>
      <c r="L259">
        <v>5999</v>
      </c>
      <c r="M259">
        <v>5999</v>
      </c>
      <c r="O259">
        <v>0</v>
      </c>
      <c r="P259">
        <v>0</v>
      </c>
      <c r="Q259" t="s">
        <v>60</v>
      </c>
      <c r="R259" t="s">
        <v>71</v>
      </c>
      <c r="S259" t="s">
        <v>243</v>
      </c>
      <c r="T259" t="s">
        <v>130</v>
      </c>
      <c r="U259" t="s">
        <v>47</v>
      </c>
      <c r="V259" s="4">
        <v>45650</v>
      </c>
      <c r="W259" t="s">
        <v>1648</v>
      </c>
      <c r="X259" t="s">
        <v>1650</v>
      </c>
      <c r="Y259" t="s">
        <v>35</v>
      </c>
      <c r="Z259" t="s">
        <v>49</v>
      </c>
      <c r="AA259" t="s">
        <v>89</v>
      </c>
      <c r="AB259" s="4">
        <v>45677</v>
      </c>
      <c r="AC259" t="s">
        <v>1652</v>
      </c>
      <c r="AD259" t="s">
        <v>1653</v>
      </c>
      <c r="AE259" t="s">
        <v>52</v>
      </c>
    </row>
    <row r="260" spans="1:31" x14ac:dyDescent="0.3">
      <c r="A260" t="s">
        <v>1239</v>
      </c>
      <c r="B260" s="4">
        <v>45635</v>
      </c>
      <c r="C260" t="s">
        <v>1646</v>
      </c>
      <c r="D260" t="s">
        <v>1240</v>
      </c>
      <c r="E260" t="s">
        <v>26</v>
      </c>
      <c r="F260" t="s">
        <v>1241</v>
      </c>
      <c r="G260" t="s">
        <v>79</v>
      </c>
      <c r="H260" t="s">
        <v>1242</v>
      </c>
      <c r="I260">
        <v>899</v>
      </c>
      <c r="J260">
        <v>2</v>
      </c>
      <c r="K260" t="s">
        <v>1647</v>
      </c>
      <c r="L260">
        <v>1798</v>
      </c>
      <c r="M260">
        <v>1438.4</v>
      </c>
      <c r="N260" t="s">
        <v>1101</v>
      </c>
      <c r="O260">
        <v>20</v>
      </c>
      <c r="P260">
        <v>359.6</v>
      </c>
      <c r="Q260" t="s">
        <v>128</v>
      </c>
      <c r="R260" t="s">
        <v>31</v>
      </c>
      <c r="S260" t="s">
        <v>32</v>
      </c>
      <c r="T260" t="s">
        <v>33</v>
      </c>
      <c r="U260" t="s">
        <v>32</v>
      </c>
      <c r="V260" s="4">
        <v>45649</v>
      </c>
      <c r="W260" t="s">
        <v>1648</v>
      </c>
      <c r="X260" t="s">
        <v>1650</v>
      </c>
      <c r="Y260" t="s">
        <v>35</v>
      </c>
      <c r="Z260" t="s">
        <v>36</v>
      </c>
      <c r="AB260" s="4"/>
      <c r="AC260" t="s">
        <v>1649</v>
      </c>
      <c r="AD260" t="s">
        <v>1651</v>
      </c>
      <c r="AE260" t="s">
        <v>37</v>
      </c>
    </row>
    <row r="261" spans="1:31" x14ac:dyDescent="0.3">
      <c r="A261" t="s">
        <v>1243</v>
      </c>
      <c r="B261" s="4">
        <v>45635</v>
      </c>
      <c r="C261" t="s">
        <v>1646</v>
      </c>
      <c r="D261" t="s">
        <v>1244</v>
      </c>
      <c r="E261" t="s">
        <v>26</v>
      </c>
      <c r="F261" t="s">
        <v>1245</v>
      </c>
      <c r="G261" t="s">
        <v>28</v>
      </c>
      <c r="H261" t="s">
        <v>1246</v>
      </c>
      <c r="I261">
        <v>2099</v>
      </c>
      <c r="J261">
        <v>1</v>
      </c>
      <c r="K261" t="s">
        <v>1647</v>
      </c>
      <c r="L261">
        <v>2099</v>
      </c>
      <c r="M261">
        <v>2099</v>
      </c>
      <c r="O261">
        <v>0</v>
      </c>
      <c r="P261">
        <v>0</v>
      </c>
      <c r="Q261" t="s">
        <v>70</v>
      </c>
      <c r="R261" t="s">
        <v>46</v>
      </c>
      <c r="S261" t="s">
        <v>47</v>
      </c>
      <c r="T261" t="s">
        <v>47</v>
      </c>
      <c r="U261" t="s">
        <v>47</v>
      </c>
      <c r="V261" s="4">
        <v>45650</v>
      </c>
      <c r="W261" t="s">
        <v>1648</v>
      </c>
      <c r="X261" t="s">
        <v>1650</v>
      </c>
      <c r="Y261" t="s">
        <v>35</v>
      </c>
      <c r="Z261" t="s">
        <v>49</v>
      </c>
      <c r="AA261" t="s">
        <v>75</v>
      </c>
      <c r="AB261" s="4">
        <v>45676</v>
      </c>
      <c r="AC261" t="s">
        <v>1652</v>
      </c>
      <c r="AD261" t="s">
        <v>1653</v>
      </c>
      <c r="AE261" t="s">
        <v>52</v>
      </c>
    </row>
    <row r="262" spans="1:31" x14ac:dyDescent="0.3">
      <c r="A262" t="s">
        <v>1248</v>
      </c>
      <c r="B262" s="4">
        <v>45636</v>
      </c>
      <c r="C262" t="s">
        <v>1646</v>
      </c>
      <c r="D262" t="s">
        <v>1249</v>
      </c>
      <c r="E262" t="s">
        <v>26</v>
      </c>
      <c r="F262" t="s">
        <v>1250</v>
      </c>
      <c r="G262" t="s">
        <v>42</v>
      </c>
      <c r="H262" t="s">
        <v>1251</v>
      </c>
      <c r="I262">
        <v>3999</v>
      </c>
      <c r="J262">
        <v>1</v>
      </c>
      <c r="K262" t="s">
        <v>1647</v>
      </c>
      <c r="L262">
        <v>3999</v>
      </c>
      <c r="M262">
        <v>3999</v>
      </c>
      <c r="O262">
        <v>0</v>
      </c>
      <c r="P262">
        <v>0</v>
      </c>
      <c r="Q262" t="s">
        <v>45</v>
      </c>
      <c r="R262" t="s">
        <v>71</v>
      </c>
      <c r="S262" t="s">
        <v>135</v>
      </c>
      <c r="T262" t="s">
        <v>136</v>
      </c>
      <c r="U262" t="s">
        <v>47</v>
      </c>
      <c r="V262" s="4">
        <v>45651</v>
      </c>
      <c r="W262" t="s">
        <v>1648</v>
      </c>
      <c r="X262" t="s">
        <v>1650</v>
      </c>
      <c r="Y262" t="s">
        <v>35</v>
      </c>
      <c r="Z262" t="s">
        <v>49</v>
      </c>
      <c r="AA262" t="s">
        <v>50</v>
      </c>
      <c r="AB262" s="4">
        <v>45679</v>
      </c>
      <c r="AC262" t="s">
        <v>1652</v>
      </c>
      <c r="AD262" t="s">
        <v>1653</v>
      </c>
      <c r="AE262" t="s">
        <v>52</v>
      </c>
    </row>
    <row r="263" spans="1:31" x14ac:dyDescent="0.3">
      <c r="A263" t="s">
        <v>1253</v>
      </c>
      <c r="B263" s="4">
        <v>45636</v>
      </c>
      <c r="C263" t="s">
        <v>1646</v>
      </c>
      <c r="D263" t="s">
        <v>1254</v>
      </c>
      <c r="E263" t="s">
        <v>26</v>
      </c>
      <c r="F263" t="s">
        <v>1255</v>
      </c>
      <c r="G263" t="s">
        <v>58</v>
      </c>
      <c r="H263" t="s">
        <v>1256</v>
      </c>
      <c r="I263">
        <v>2499</v>
      </c>
      <c r="J263">
        <v>1</v>
      </c>
      <c r="K263" t="s">
        <v>1647</v>
      </c>
      <c r="L263">
        <v>2499</v>
      </c>
      <c r="M263">
        <v>1999.2</v>
      </c>
      <c r="N263" t="s">
        <v>1101</v>
      </c>
      <c r="O263">
        <v>20</v>
      </c>
      <c r="P263">
        <v>499.8</v>
      </c>
      <c r="Q263" t="s">
        <v>30</v>
      </c>
      <c r="R263" t="s">
        <v>31</v>
      </c>
      <c r="S263" t="s">
        <v>156</v>
      </c>
      <c r="T263" t="s">
        <v>130</v>
      </c>
      <c r="U263" t="s">
        <v>47</v>
      </c>
      <c r="V263" s="4">
        <v>45651</v>
      </c>
      <c r="W263" t="s">
        <v>1648</v>
      </c>
      <c r="X263" t="s">
        <v>1650</v>
      </c>
      <c r="Y263" t="s">
        <v>35</v>
      </c>
      <c r="Z263" t="s">
        <v>36</v>
      </c>
      <c r="AB263" s="4"/>
      <c r="AC263" t="s">
        <v>1649</v>
      </c>
      <c r="AD263" t="s">
        <v>1651</v>
      </c>
      <c r="AE263" t="s">
        <v>37</v>
      </c>
    </row>
    <row r="264" spans="1:31" x14ac:dyDescent="0.3">
      <c r="A264" t="s">
        <v>1257</v>
      </c>
      <c r="B264" s="4">
        <v>45636</v>
      </c>
      <c r="C264" t="s">
        <v>1646</v>
      </c>
      <c r="D264" t="s">
        <v>1258</v>
      </c>
      <c r="E264" t="s">
        <v>40</v>
      </c>
      <c r="F264" t="s">
        <v>1259</v>
      </c>
      <c r="G264" t="s">
        <v>67</v>
      </c>
      <c r="H264" t="s">
        <v>1260</v>
      </c>
      <c r="I264">
        <v>4899</v>
      </c>
      <c r="J264">
        <v>1</v>
      </c>
      <c r="K264" t="s">
        <v>1647</v>
      </c>
      <c r="L264">
        <v>4899</v>
      </c>
      <c r="M264">
        <v>4899</v>
      </c>
      <c r="O264">
        <v>0</v>
      </c>
      <c r="P264">
        <v>0</v>
      </c>
      <c r="Q264" t="s">
        <v>60</v>
      </c>
      <c r="R264" t="s">
        <v>46</v>
      </c>
      <c r="S264" t="s">
        <v>164</v>
      </c>
      <c r="T264" t="s">
        <v>165</v>
      </c>
      <c r="U264" t="s">
        <v>47</v>
      </c>
      <c r="V264" s="4">
        <v>45652</v>
      </c>
      <c r="W264" t="s">
        <v>1648</v>
      </c>
      <c r="X264" t="s">
        <v>1650</v>
      </c>
      <c r="Y264" t="s">
        <v>35</v>
      </c>
      <c r="Z264" t="s">
        <v>49</v>
      </c>
      <c r="AA264" t="s">
        <v>119</v>
      </c>
      <c r="AB264" s="4">
        <v>45680</v>
      </c>
      <c r="AC264" t="s">
        <v>1652</v>
      </c>
      <c r="AD264" t="s">
        <v>1653</v>
      </c>
      <c r="AE264" t="s">
        <v>52</v>
      </c>
    </row>
    <row r="265" spans="1:31" x14ac:dyDescent="0.3">
      <c r="A265" t="s">
        <v>1262</v>
      </c>
      <c r="B265" s="4">
        <v>45636</v>
      </c>
      <c r="C265" t="s">
        <v>1646</v>
      </c>
      <c r="D265" t="s">
        <v>1263</v>
      </c>
      <c r="E265" t="s">
        <v>26</v>
      </c>
      <c r="F265" t="s">
        <v>1264</v>
      </c>
      <c r="G265" t="s">
        <v>79</v>
      </c>
      <c r="H265" t="s">
        <v>1265</v>
      </c>
      <c r="I265">
        <v>1199</v>
      </c>
      <c r="J265">
        <v>1</v>
      </c>
      <c r="K265" t="s">
        <v>1647</v>
      </c>
      <c r="L265">
        <v>1199</v>
      </c>
      <c r="M265">
        <v>1199</v>
      </c>
      <c r="O265">
        <v>0</v>
      </c>
      <c r="P265">
        <v>0</v>
      </c>
      <c r="Q265" t="s">
        <v>128</v>
      </c>
      <c r="R265" t="s">
        <v>71</v>
      </c>
      <c r="S265" t="s">
        <v>171</v>
      </c>
      <c r="T265" t="s">
        <v>172</v>
      </c>
      <c r="U265" t="s">
        <v>32</v>
      </c>
      <c r="V265" s="4">
        <v>45651</v>
      </c>
      <c r="W265" t="s">
        <v>1648</v>
      </c>
      <c r="X265" t="s">
        <v>1650</v>
      </c>
      <c r="Y265" t="s">
        <v>35</v>
      </c>
      <c r="Z265" t="s">
        <v>36</v>
      </c>
      <c r="AB265" s="4"/>
      <c r="AC265" t="s">
        <v>1649</v>
      </c>
      <c r="AD265" t="s">
        <v>1651</v>
      </c>
      <c r="AE265" t="s">
        <v>37</v>
      </c>
    </row>
    <row r="266" spans="1:31" x14ac:dyDescent="0.3">
      <c r="A266" t="s">
        <v>1266</v>
      </c>
      <c r="B266" s="4">
        <v>45636</v>
      </c>
      <c r="C266" t="s">
        <v>1646</v>
      </c>
      <c r="D266" t="s">
        <v>1267</v>
      </c>
      <c r="E266" t="s">
        <v>26</v>
      </c>
      <c r="F266" t="s">
        <v>1268</v>
      </c>
      <c r="G266" t="s">
        <v>28</v>
      </c>
      <c r="H266" t="s">
        <v>1269</v>
      </c>
      <c r="I266">
        <v>1899</v>
      </c>
      <c r="J266">
        <v>1</v>
      </c>
      <c r="K266" t="s">
        <v>1647</v>
      </c>
      <c r="L266">
        <v>1899</v>
      </c>
      <c r="M266">
        <v>1519.2</v>
      </c>
      <c r="N266" t="s">
        <v>1101</v>
      </c>
      <c r="O266">
        <v>20</v>
      </c>
      <c r="P266">
        <v>379.8</v>
      </c>
      <c r="Q266" t="s">
        <v>70</v>
      </c>
      <c r="R266" t="s">
        <v>31</v>
      </c>
      <c r="S266" t="s">
        <v>177</v>
      </c>
      <c r="T266" t="s">
        <v>109</v>
      </c>
      <c r="U266" t="s">
        <v>32</v>
      </c>
      <c r="V266" s="4">
        <v>45652</v>
      </c>
      <c r="W266" t="s">
        <v>1648</v>
      </c>
      <c r="X266" t="s">
        <v>1650</v>
      </c>
      <c r="Y266" t="s">
        <v>35</v>
      </c>
      <c r="Z266" t="s">
        <v>49</v>
      </c>
      <c r="AA266" t="s">
        <v>158</v>
      </c>
      <c r="AB266" s="4">
        <v>45678</v>
      </c>
      <c r="AC266" t="s">
        <v>1652</v>
      </c>
      <c r="AD266" t="s">
        <v>1653</v>
      </c>
      <c r="AE266" t="s">
        <v>52</v>
      </c>
    </row>
    <row r="267" spans="1:31" x14ac:dyDescent="0.3">
      <c r="A267" t="s">
        <v>1271</v>
      </c>
      <c r="B267" s="4">
        <v>45637</v>
      </c>
      <c r="C267" t="s">
        <v>1646</v>
      </c>
      <c r="D267" t="s">
        <v>1272</v>
      </c>
      <c r="E267" t="s">
        <v>26</v>
      </c>
      <c r="F267" t="s">
        <v>1273</v>
      </c>
      <c r="G267" t="s">
        <v>42</v>
      </c>
      <c r="H267" t="s">
        <v>1274</v>
      </c>
      <c r="I267">
        <v>3599</v>
      </c>
      <c r="J267">
        <v>1</v>
      </c>
      <c r="K267" t="s">
        <v>1647</v>
      </c>
      <c r="L267">
        <v>3599</v>
      </c>
      <c r="M267">
        <v>3599</v>
      </c>
      <c r="O267">
        <v>0</v>
      </c>
      <c r="P267">
        <v>0</v>
      </c>
      <c r="Q267" t="s">
        <v>45</v>
      </c>
      <c r="R267" t="s">
        <v>46</v>
      </c>
      <c r="S267" t="s">
        <v>184</v>
      </c>
      <c r="T267" t="s">
        <v>185</v>
      </c>
      <c r="U267" t="s">
        <v>47</v>
      </c>
      <c r="V267" s="4">
        <v>45653</v>
      </c>
      <c r="W267" t="s">
        <v>1648</v>
      </c>
      <c r="X267" t="s">
        <v>1650</v>
      </c>
      <c r="Y267" t="s">
        <v>35</v>
      </c>
      <c r="Z267" t="s">
        <v>36</v>
      </c>
      <c r="AB267" s="4"/>
      <c r="AC267" t="s">
        <v>1649</v>
      </c>
      <c r="AD267" t="s">
        <v>1651</v>
      </c>
      <c r="AE267" t="s">
        <v>37</v>
      </c>
    </row>
    <row r="268" spans="1:31" x14ac:dyDescent="0.3">
      <c r="A268" t="s">
        <v>1275</v>
      </c>
      <c r="B268" s="4">
        <v>45637</v>
      </c>
      <c r="C268" t="s">
        <v>1646</v>
      </c>
      <c r="D268" t="s">
        <v>1276</v>
      </c>
      <c r="E268" t="s">
        <v>26</v>
      </c>
      <c r="F268" t="s">
        <v>1277</v>
      </c>
      <c r="G268" t="s">
        <v>58</v>
      </c>
      <c r="H268" t="s">
        <v>1278</v>
      </c>
      <c r="I268">
        <v>2699</v>
      </c>
      <c r="J268">
        <v>1</v>
      </c>
      <c r="K268" t="s">
        <v>1647</v>
      </c>
      <c r="L268">
        <v>2699</v>
      </c>
      <c r="M268">
        <v>2699</v>
      </c>
      <c r="O268">
        <v>0</v>
      </c>
      <c r="P268">
        <v>0</v>
      </c>
      <c r="Q268" t="s">
        <v>30</v>
      </c>
      <c r="R268" t="s">
        <v>71</v>
      </c>
      <c r="S268" t="s">
        <v>190</v>
      </c>
      <c r="T268" t="s">
        <v>172</v>
      </c>
      <c r="U268" t="s">
        <v>32</v>
      </c>
      <c r="V268" s="4">
        <v>45653</v>
      </c>
      <c r="W268" t="s">
        <v>1648</v>
      </c>
      <c r="X268" t="s">
        <v>1650</v>
      </c>
      <c r="Y268" t="s">
        <v>35</v>
      </c>
      <c r="Z268" t="s">
        <v>49</v>
      </c>
      <c r="AA268" t="s">
        <v>50</v>
      </c>
      <c r="AB268" s="4">
        <v>45681</v>
      </c>
      <c r="AC268" t="s">
        <v>1652</v>
      </c>
      <c r="AD268" t="s">
        <v>1653</v>
      </c>
      <c r="AE268" t="s">
        <v>52</v>
      </c>
    </row>
    <row r="269" spans="1:31" x14ac:dyDescent="0.3">
      <c r="A269" t="s">
        <v>1280</v>
      </c>
      <c r="B269" s="4">
        <v>45637</v>
      </c>
      <c r="C269" t="s">
        <v>1646</v>
      </c>
      <c r="D269" t="s">
        <v>1281</v>
      </c>
      <c r="E269" t="s">
        <v>40</v>
      </c>
      <c r="F269" t="s">
        <v>1282</v>
      </c>
      <c r="G269" t="s">
        <v>67</v>
      </c>
      <c r="H269" t="s">
        <v>1283</v>
      </c>
      <c r="I269">
        <v>5599</v>
      </c>
      <c r="J269">
        <v>1</v>
      </c>
      <c r="K269" t="s">
        <v>1647</v>
      </c>
      <c r="L269">
        <v>5599</v>
      </c>
      <c r="M269">
        <v>4479.2</v>
      </c>
      <c r="N269" t="s">
        <v>1101</v>
      </c>
      <c r="O269">
        <v>20</v>
      </c>
      <c r="P269">
        <v>1119.8</v>
      </c>
      <c r="Q269" t="s">
        <v>60</v>
      </c>
      <c r="R269" t="s">
        <v>31</v>
      </c>
      <c r="S269" t="s">
        <v>195</v>
      </c>
      <c r="T269" t="s">
        <v>33</v>
      </c>
      <c r="U269" t="s">
        <v>32</v>
      </c>
      <c r="V269" s="4">
        <v>45654</v>
      </c>
      <c r="W269" t="s">
        <v>1648</v>
      </c>
      <c r="X269" t="s">
        <v>1650</v>
      </c>
      <c r="Y269" t="s">
        <v>35</v>
      </c>
      <c r="Z269" t="s">
        <v>49</v>
      </c>
      <c r="AA269" t="s">
        <v>89</v>
      </c>
      <c r="AB269" s="4">
        <v>45682</v>
      </c>
      <c r="AC269" t="s">
        <v>1652</v>
      </c>
      <c r="AD269" t="s">
        <v>1653</v>
      </c>
      <c r="AE269" t="s">
        <v>52</v>
      </c>
    </row>
    <row r="270" spans="1:31" x14ac:dyDescent="0.3">
      <c r="A270" t="s">
        <v>1285</v>
      </c>
      <c r="B270" s="4">
        <v>45637</v>
      </c>
      <c r="C270" t="s">
        <v>1646</v>
      </c>
      <c r="D270" t="s">
        <v>1286</v>
      </c>
      <c r="E270" t="s">
        <v>26</v>
      </c>
      <c r="F270" t="s">
        <v>1287</v>
      </c>
      <c r="G270" t="s">
        <v>79</v>
      </c>
      <c r="H270" t="s">
        <v>1288</v>
      </c>
      <c r="I270">
        <v>399</v>
      </c>
      <c r="J270">
        <v>3</v>
      </c>
      <c r="K270" t="s">
        <v>1647</v>
      </c>
      <c r="L270">
        <v>1197</v>
      </c>
      <c r="M270">
        <v>1197</v>
      </c>
      <c r="O270">
        <v>0</v>
      </c>
      <c r="P270">
        <v>0</v>
      </c>
      <c r="Q270" t="s">
        <v>128</v>
      </c>
      <c r="R270" t="s">
        <v>46</v>
      </c>
      <c r="S270" t="s">
        <v>202</v>
      </c>
      <c r="T270" t="s">
        <v>73</v>
      </c>
      <c r="U270" t="s">
        <v>61</v>
      </c>
      <c r="V270" s="4">
        <v>45653</v>
      </c>
      <c r="W270" t="s">
        <v>1648</v>
      </c>
      <c r="X270" t="s">
        <v>1650</v>
      </c>
      <c r="Y270" t="s">
        <v>35</v>
      </c>
      <c r="Z270" t="s">
        <v>36</v>
      </c>
      <c r="AB270" s="4"/>
      <c r="AC270" t="s">
        <v>1649</v>
      </c>
      <c r="AD270" t="s">
        <v>1651</v>
      </c>
      <c r="AE270" t="s">
        <v>37</v>
      </c>
    </row>
    <row r="271" spans="1:31" x14ac:dyDescent="0.3">
      <c r="A271" t="s">
        <v>1289</v>
      </c>
      <c r="B271" s="4">
        <v>45638</v>
      </c>
      <c r="C271" t="s">
        <v>1646</v>
      </c>
      <c r="D271" t="s">
        <v>1290</v>
      </c>
      <c r="E271" t="s">
        <v>26</v>
      </c>
      <c r="F271" t="s">
        <v>1291</v>
      </c>
      <c r="G271" t="s">
        <v>28</v>
      </c>
      <c r="H271" t="s">
        <v>1292</v>
      </c>
      <c r="I271">
        <v>2199</v>
      </c>
      <c r="J271">
        <v>1</v>
      </c>
      <c r="K271" t="s">
        <v>1647</v>
      </c>
      <c r="L271">
        <v>2199</v>
      </c>
      <c r="M271">
        <v>2199</v>
      </c>
      <c r="O271">
        <v>0</v>
      </c>
      <c r="P271">
        <v>0</v>
      </c>
      <c r="Q271" t="s">
        <v>70</v>
      </c>
      <c r="R271" t="s">
        <v>71</v>
      </c>
      <c r="S271" t="s">
        <v>208</v>
      </c>
      <c r="T271" t="s">
        <v>209</v>
      </c>
      <c r="U271" t="s">
        <v>61</v>
      </c>
      <c r="V271" s="4">
        <v>45654</v>
      </c>
      <c r="W271" t="s">
        <v>1648</v>
      </c>
      <c r="X271" t="s">
        <v>1650</v>
      </c>
      <c r="Y271" t="s">
        <v>35</v>
      </c>
      <c r="Z271" t="s">
        <v>49</v>
      </c>
      <c r="AA271" t="s">
        <v>75</v>
      </c>
      <c r="AB271" s="4">
        <v>45680</v>
      </c>
      <c r="AC271" t="s">
        <v>1652</v>
      </c>
      <c r="AD271" t="s">
        <v>1653</v>
      </c>
      <c r="AE271" t="s">
        <v>52</v>
      </c>
    </row>
    <row r="272" spans="1:31" x14ac:dyDescent="0.3">
      <c r="A272" t="s">
        <v>1293</v>
      </c>
      <c r="B272" s="4">
        <v>45638</v>
      </c>
      <c r="C272" t="s">
        <v>1646</v>
      </c>
      <c r="D272" t="s">
        <v>1294</v>
      </c>
      <c r="E272" t="s">
        <v>26</v>
      </c>
      <c r="F272" t="s">
        <v>1295</v>
      </c>
      <c r="G272" t="s">
        <v>42</v>
      </c>
      <c r="H272" t="s">
        <v>1296</v>
      </c>
      <c r="I272">
        <v>4299</v>
      </c>
      <c r="J272">
        <v>1</v>
      </c>
      <c r="K272" t="s">
        <v>1647</v>
      </c>
      <c r="L272">
        <v>4299</v>
      </c>
      <c r="M272">
        <v>3439.2</v>
      </c>
      <c r="N272" t="s">
        <v>1101</v>
      </c>
      <c r="O272">
        <v>20</v>
      </c>
      <c r="P272">
        <v>859.8</v>
      </c>
      <c r="Q272" t="s">
        <v>45</v>
      </c>
      <c r="R272" t="s">
        <v>31</v>
      </c>
      <c r="S272" t="s">
        <v>215</v>
      </c>
      <c r="T272" t="s">
        <v>216</v>
      </c>
      <c r="U272" t="s">
        <v>61</v>
      </c>
      <c r="V272" s="4">
        <v>45655</v>
      </c>
      <c r="W272" t="s">
        <v>1648</v>
      </c>
      <c r="X272" t="s">
        <v>1650</v>
      </c>
      <c r="Y272" t="s">
        <v>35</v>
      </c>
      <c r="Z272" t="s">
        <v>36</v>
      </c>
      <c r="AB272" s="4"/>
      <c r="AC272" t="s">
        <v>1649</v>
      </c>
      <c r="AD272" t="s">
        <v>1651</v>
      </c>
      <c r="AE272" t="s">
        <v>37</v>
      </c>
    </row>
    <row r="273" spans="1:31" x14ac:dyDescent="0.3">
      <c r="A273" t="s">
        <v>1297</v>
      </c>
      <c r="B273" s="4">
        <v>45638</v>
      </c>
      <c r="C273" t="s">
        <v>1646</v>
      </c>
      <c r="D273" t="s">
        <v>1298</v>
      </c>
      <c r="E273" t="s">
        <v>26</v>
      </c>
      <c r="F273" t="s">
        <v>1299</v>
      </c>
      <c r="G273" t="s">
        <v>58</v>
      </c>
      <c r="H273" t="s">
        <v>1300</v>
      </c>
      <c r="I273">
        <v>2399</v>
      </c>
      <c r="J273">
        <v>1</v>
      </c>
      <c r="K273" t="s">
        <v>1647</v>
      </c>
      <c r="L273">
        <v>2399</v>
      </c>
      <c r="M273">
        <v>2399</v>
      </c>
      <c r="O273">
        <v>0</v>
      </c>
      <c r="P273">
        <v>0</v>
      </c>
      <c r="Q273" t="s">
        <v>30</v>
      </c>
      <c r="R273" t="s">
        <v>46</v>
      </c>
      <c r="S273" t="s">
        <v>221</v>
      </c>
      <c r="T273" t="s">
        <v>209</v>
      </c>
      <c r="U273" t="s">
        <v>61</v>
      </c>
      <c r="V273" s="4">
        <v>45655</v>
      </c>
      <c r="W273" t="s">
        <v>1648</v>
      </c>
      <c r="X273" t="s">
        <v>1650</v>
      </c>
      <c r="Y273" t="s">
        <v>35</v>
      </c>
      <c r="Z273" t="s">
        <v>49</v>
      </c>
      <c r="AA273" t="s">
        <v>119</v>
      </c>
      <c r="AB273" s="4">
        <v>45683</v>
      </c>
      <c r="AC273" t="s">
        <v>1652</v>
      </c>
      <c r="AD273" t="s">
        <v>1653</v>
      </c>
      <c r="AE273" t="s">
        <v>52</v>
      </c>
    </row>
    <row r="274" spans="1:31" x14ac:dyDescent="0.3">
      <c r="A274" t="s">
        <v>1302</v>
      </c>
      <c r="B274" s="4">
        <v>45638</v>
      </c>
      <c r="C274" t="s">
        <v>1646</v>
      </c>
      <c r="D274" t="s">
        <v>1303</v>
      </c>
      <c r="E274" t="s">
        <v>40</v>
      </c>
      <c r="F274" t="s">
        <v>1304</v>
      </c>
      <c r="G274" t="s">
        <v>67</v>
      </c>
      <c r="H274" t="s">
        <v>1305</v>
      </c>
      <c r="I274">
        <v>6299</v>
      </c>
      <c r="J274">
        <v>1</v>
      </c>
      <c r="K274" t="s">
        <v>1647</v>
      </c>
      <c r="L274">
        <v>6299</v>
      </c>
      <c r="M274">
        <v>6299</v>
      </c>
      <c r="O274">
        <v>0</v>
      </c>
      <c r="P274">
        <v>0</v>
      </c>
      <c r="Q274" t="s">
        <v>60</v>
      </c>
      <c r="R274" t="s">
        <v>71</v>
      </c>
      <c r="S274" t="s">
        <v>226</v>
      </c>
      <c r="T274" t="s">
        <v>62</v>
      </c>
      <c r="U274" t="s">
        <v>61</v>
      </c>
      <c r="V274" s="4"/>
      <c r="W274" t="s">
        <v>1656</v>
      </c>
      <c r="X274" t="s">
        <v>1657</v>
      </c>
      <c r="Y274" t="s">
        <v>137</v>
      </c>
      <c r="Z274" t="s">
        <v>36</v>
      </c>
      <c r="AB274" s="4"/>
      <c r="AC274" t="s">
        <v>1656</v>
      </c>
      <c r="AD274" t="s">
        <v>1651</v>
      </c>
      <c r="AE274" t="s">
        <v>37</v>
      </c>
    </row>
    <row r="275" spans="1:31" x14ac:dyDescent="0.3">
      <c r="A275" t="s">
        <v>1306</v>
      </c>
      <c r="B275" s="4">
        <v>45639</v>
      </c>
      <c r="C275" t="s">
        <v>1646</v>
      </c>
      <c r="D275" t="s">
        <v>1307</v>
      </c>
      <c r="E275" t="s">
        <v>26</v>
      </c>
      <c r="F275" t="s">
        <v>1308</v>
      </c>
      <c r="G275" t="s">
        <v>79</v>
      </c>
      <c r="H275" t="s">
        <v>1309</v>
      </c>
      <c r="I275">
        <v>599</v>
      </c>
      <c r="J275">
        <v>2</v>
      </c>
      <c r="K275" t="s">
        <v>1647</v>
      </c>
      <c r="L275">
        <v>1198</v>
      </c>
      <c r="M275">
        <v>958.4</v>
      </c>
      <c r="N275" t="s">
        <v>1101</v>
      </c>
      <c r="O275">
        <v>20</v>
      </c>
      <c r="P275">
        <v>239.6</v>
      </c>
      <c r="Q275" t="s">
        <v>128</v>
      </c>
      <c r="R275" t="s">
        <v>31</v>
      </c>
      <c r="S275" t="s">
        <v>233</v>
      </c>
      <c r="T275" t="s">
        <v>109</v>
      </c>
      <c r="U275" t="s">
        <v>32</v>
      </c>
      <c r="V275" s="4">
        <v>45655</v>
      </c>
      <c r="W275" t="s">
        <v>1648</v>
      </c>
      <c r="X275" t="s">
        <v>1650</v>
      </c>
      <c r="Y275" t="s">
        <v>35</v>
      </c>
      <c r="Z275" t="s">
        <v>36</v>
      </c>
      <c r="AB275" s="4"/>
      <c r="AC275" t="s">
        <v>1649</v>
      </c>
      <c r="AD275" t="s">
        <v>1651</v>
      </c>
      <c r="AE275" t="s">
        <v>37</v>
      </c>
    </row>
    <row r="276" spans="1:31" x14ac:dyDescent="0.3">
      <c r="A276" t="s">
        <v>1310</v>
      </c>
      <c r="B276" s="4">
        <v>45639</v>
      </c>
      <c r="C276" t="s">
        <v>1646</v>
      </c>
      <c r="D276" t="s">
        <v>1311</v>
      </c>
      <c r="E276" t="s">
        <v>26</v>
      </c>
      <c r="F276" t="s">
        <v>1312</v>
      </c>
      <c r="G276" t="s">
        <v>28</v>
      </c>
      <c r="H276" t="s">
        <v>1313</v>
      </c>
      <c r="I276">
        <v>2399</v>
      </c>
      <c r="J276">
        <v>1</v>
      </c>
      <c r="K276" t="s">
        <v>1647</v>
      </c>
      <c r="L276">
        <v>2399</v>
      </c>
      <c r="M276">
        <v>2399</v>
      </c>
      <c r="O276">
        <v>0</v>
      </c>
      <c r="P276">
        <v>0</v>
      </c>
      <c r="Q276" t="s">
        <v>70</v>
      </c>
      <c r="R276" t="s">
        <v>46</v>
      </c>
      <c r="S276" t="s">
        <v>238</v>
      </c>
      <c r="T276" t="s">
        <v>109</v>
      </c>
      <c r="U276" t="s">
        <v>32</v>
      </c>
      <c r="V276" s="4">
        <v>45656</v>
      </c>
      <c r="W276" t="s">
        <v>1648</v>
      </c>
      <c r="X276" t="s">
        <v>1650</v>
      </c>
      <c r="Y276" t="s">
        <v>35</v>
      </c>
      <c r="Z276" t="s">
        <v>49</v>
      </c>
      <c r="AA276" t="s">
        <v>50</v>
      </c>
      <c r="AB276" s="4">
        <v>45684</v>
      </c>
      <c r="AC276" t="s">
        <v>1652</v>
      </c>
      <c r="AD276" t="s">
        <v>1653</v>
      </c>
      <c r="AE276" t="s">
        <v>52</v>
      </c>
    </row>
    <row r="277" spans="1:31" x14ac:dyDescent="0.3">
      <c r="A277" t="s">
        <v>1315</v>
      </c>
      <c r="B277" s="4">
        <v>45639</v>
      </c>
      <c r="C277" t="s">
        <v>1646</v>
      </c>
      <c r="D277" t="s">
        <v>1316</v>
      </c>
      <c r="E277" t="s">
        <v>26</v>
      </c>
      <c r="F277" t="s">
        <v>1317</v>
      </c>
      <c r="G277" t="s">
        <v>42</v>
      </c>
      <c r="H277" t="s">
        <v>1318</v>
      </c>
      <c r="I277">
        <v>5999</v>
      </c>
      <c r="J277">
        <v>1</v>
      </c>
      <c r="K277" t="s">
        <v>1647</v>
      </c>
      <c r="L277">
        <v>5999</v>
      </c>
      <c r="M277">
        <v>5999</v>
      </c>
      <c r="O277">
        <v>0</v>
      </c>
      <c r="P277">
        <v>0</v>
      </c>
      <c r="Q277" t="s">
        <v>45</v>
      </c>
      <c r="R277" t="s">
        <v>71</v>
      </c>
      <c r="S277" t="s">
        <v>243</v>
      </c>
      <c r="T277" t="s">
        <v>130</v>
      </c>
      <c r="U277" t="s">
        <v>47</v>
      </c>
      <c r="V277" s="4">
        <v>45657</v>
      </c>
      <c r="W277" t="s">
        <v>1648</v>
      </c>
      <c r="X277" t="s">
        <v>1650</v>
      </c>
      <c r="Y277" t="s">
        <v>35</v>
      </c>
      <c r="Z277" t="s">
        <v>49</v>
      </c>
      <c r="AA277" t="s">
        <v>158</v>
      </c>
      <c r="AB277" s="4">
        <v>45685</v>
      </c>
      <c r="AC277" t="s">
        <v>1652</v>
      </c>
      <c r="AD277" t="s">
        <v>1653</v>
      </c>
      <c r="AE277" t="s">
        <v>52</v>
      </c>
    </row>
    <row r="278" spans="1:31" x14ac:dyDescent="0.3">
      <c r="A278" t="s">
        <v>1320</v>
      </c>
      <c r="B278" s="4">
        <v>45639</v>
      </c>
      <c r="C278" t="s">
        <v>1646</v>
      </c>
      <c r="D278" t="s">
        <v>1321</v>
      </c>
      <c r="E278" t="s">
        <v>26</v>
      </c>
      <c r="F278" t="s">
        <v>1322</v>
      </c>
      <c r="G278" t="s">
        <v>58</v>
      </c>
      <c r="H278" t="s">
        <v>1323</v>
      </c>
      <c r="I278">
        <v>1899</v>
      </c>
      <c r="J278">
        <v>1</v>
      </c>
      <c r="K278" t="s">
        <v>1647</v>
      </c>
      <c r="L278">
        <v>1899</v>
      </c>
      <c r="M278">
        <v>1519.2</v>
      </c>
      <c r="N278" t="s">
        <v>1101</v>
      </c>
      <c r="O278">
        <v>20</v>
      </c>
      <c r="P278">
        <v>379.8</v>
      </c>
      <c r="Q278" t="s">
        <v>30</v>
      </c>
      <c r="R278" t="s">
        <v>31</v>
      </c>
      <c r="S278" t="s">
        <v>32</v>
      </c>
      <c r="T278" t="s">
        <v>33</v>
      </c>
      <c r="U278" t="s">
        <v>32</v>
      </c>
      <c r="V278" s="4">
        <v>45656</v>
      </c>
      <c r="W278" t="s">
        <v>1648</v>
      </c>
      <c r="X278" t="s">
        <v>1650</v>
      </c>
      <c r="Y278" t="s">
        <v>35</v>
      </c>
      <c r="Z278" t="s">
        <v>36</v>
      </c>
      <c r="AB278" s="4"/>
      <c r="AC278" t="s">
        <v>1649</v>
      </c>
      <c r="AD278" t="s">
        <v>1651</v>
      </c>
      <c r="AE278" t="s">
        <v>37</v>
      </c>
    </row>
    <row r="279" spans="1:31" x14ac:dyDescent="0.3">
      <c r="A279" t="s">
        <v>1324</v>
      </c>
      <c r="B279" s="4">
        <v>45640</v>
      </c>
      <c r="C279" t="s">
        <v>1646</v>
      </c>
      <c r="D279" t="s">
        <v>1325</v>
      </c>
      <c r="E279" t="s">
        <v>40</v>
      </c>
      <c r="F279" t="s">
        <v>1326</v>
      </c>
      <c r="G279" t="s">
        <v>67</v>
      </c>
      <c r="H279" t="s">
        <v>1327</v>
      </c>
      <c r="I279">
        <v>4999</v>
      </c>
      <c r="J279">
        <v>1</v>
      </c>
      <c r="K279" t="s">
        <v>1647</v>
      </c>
      <c r="L279">
        <v>4999</v>
      </c>
      <c r="M279">
        <v>4999</v>
      </c>
      <c r="O279">
        <v>0</v>
      </c>
      <c r="P279">
        <v>0</v>
      </c>
      <c r="Q279" t="s">
        <v>60</v>
      </c>
      <c r="R279" t="s">
        <v>46</v>
      </c>
      <c r="S279" t="s">
        <v>47</v>
      </c>
      <c r="T279" t="s">
        <v>47</v>
      </c>
      <c r="U279" t="s">
        <v>47</v>
      </c>
      <c r="V279" s="4">
        <v>45657</v>
      </c>
      <c r="W279" t="s">
        <v>1648</v>
      </c>
      <c r="X279" t="s">
        <v>1650</v>
      </c>
      <c r="Y279" t="s">
        <v>35</v>
      </c>
      <c r="Z279" t="s">
        <v>49</v>
      </c>
      <c r="AA279" t="s">
        <v>89</v>
      </c>
      <c r="AB279" s="4">
        <v>45686</v>
      </c>
      <c r="AC279" t="s">
        <v>1652</v>
      </c>
      <c r="AD279" t="s">
        <v>1653</v>
      </c>
      <c r="AE279" t="s">
        <v>52</v>
      </c>
    </row>
    <row r="280" spans="1:31" x14ac:dyDescent="0.3">
      <c r="A280" t="s">
        <v>1329</v>
      </c>
      <c r="B280" s="4">
        <v>45640</v>
      </c>
      <c r="C280" t="s">
        <v>1646</v>
      </c>
      <c r="D280" t="s">
        <v>1330</v>
      </c>
      <c r="E280" t="s">
        <v>26</v>
      </c>
      <c r="F280" t="s">
        <v>1331</v>
      </c>
      <c r="G280" t="s">
        <v>79</v>
      </c>
      <c r="H280" t="s">
        <v>1332</v>
      </c>
      <c r="I280">
        <v>1699</v>
      </c>
      <c r="J280">
        <v>1</v>
      </c>
      <c r="K280" t="s">
        <v>1647</v>
      </c>
      <c r="L280">
        <v>1699</v>
      </c>
      <c r="M280">
        <v>1699</v>
      </c>
      <c r="O280">
        <v>0</v>
      </c>
      <c r="P280">
        <v>0</v>
      </c>
      <c r="Q280" t="s">
        <v>128</v>
      </c>
      <c r="R280" t="s">
        <v>71</v>
      </c>
      <c r="S280" t="s">
        <v>101</v>
      </c>
      <c r="T280" t="s">
        <v>102</v>
      </c>
      <c r="U280" t="s">
        <v>47</v>
      </c>
      <c r="V280" s="4">
        <v>45656</v>
      </c>
      <c r="W280" t="s">
        <v>1648</v>
      </c>
      <c r="X280" t="s">
        <v>1650</v>
      </c>
      <c r="Y280" t="s">
        <v>35</v>
      </c>
      <c r="Z280" t="s">
        <v>49</v>
      </c>
      <c r="AA280" t="s">
        <v>75</v>
      </c>
      <c r="AB280" s="4">
        <v>45683</v>
      </c>
      <c r="AC280" t="s">
        <v>1652</v>
      </c>
      <c r="AD280" t="s">
        <v>1653</v>
      </c>
      <c r="AE280" t="s">
        <v>52</v>
      </c>
    </row>
    <row r="281" spans="1:31" x14ac:dyDescent="0.3">
      <c r="A281" t="s">
        <v>1333</v>
      </c>
      <c r="B281" s="4">
        <v>45640</v>
      </c>
      <c r="C281" t="s">
        <v>1646</v>
      </c>
      <c r="D281" t="s">
        <v>1334</v>
      </c>
      <c r="E281" t="s">
        <v>26</v>
      </c>
      <c r="F281" t="s">
        <v>1335</v>
      </c>
      <c r="G281" t="s">
        <v>28</v>
      </c>
      <c r="H281" t="s">
        <v>1336</v>
      </c>
      <c r="I281">
        <v>2099</v>
      </c>
      <c r="J281">
        <v>1</v>
      </c>
      <c r="K281" t="s">
        <v>1647</v>
      </c>
      <c r="L281">
        <v>2099</v>
      </c>
      <c r="M281">
        <v>1679.2</v>
      </c>
      <c r="N281" t="s">
        <v>1101</v>
      </c>
      <c r="O281">
        <v>20</v>
      </c>
      <c r="P281">
        <v>419.8</v>
      </c>
      <c r="Q281" t="s">
        <v>70</v>
      </c>
      <c r="R281" t="s">
        <v>31</v>
      </c>
      <c r="S281" t="s">
        <v>72</v>
      </c>
      <c r="T281" t="s">
        <v>73</v>
      </c>
      <c r="U281" t="s">
        <v>61</v>
      </c>
      <c r="V281" s="4">
        <v>45657</v>
      </c>
      <c r="W281" t="s">
        <v>1648</v>
      </c>
      <c r="X281" t="s">
        <v>1650</v>
      </c>
      <c r="Y281" t="s">
        <v>35</v>
      </c>
      <c r="Z281" t="s">
        <v>36</v>
      </c>
      <c r="AB281" s="4"/>
      <c r="AC281" t="s">
        <v>1649</v>
      </c>
      <c r="AD281" t="s">
        <v>1651</v>
      </c>
      <c r="AE281" t="s">
        <v>37</v>
      </c>
    </row>
    <row r="282" spans="1:31" x14ac:dyDescent="0.3">
      <c r="A282" t="s">
        <v>1337</v>
      </c>
      <c r="B282" s="4">
        <v>45640</v>
      </c>
      <c r="C282" t="s">
        <v>1646</v>
      </c>
      <c r="D282" t="s">
        <v>1338</v>
      </c>
      <c r="E282" t="s">
        <v>26</v>
      </c>
      <c r="F282" t="s">
        <v>246</v>
      </c>
      <c r="G282" t="s">
        <v>42</v>
      </c>
      <c r="H282" t="s">
        <v>1339</v>
      </c>
      <c r="I282">
        <v>4599</v>
      </c>
      <c r="J282">
        <v>1</v>
      </c>
      <c r="K282" t="s">
        <v>1647</v>
      </c>
      <c r="L282">
        <v>4599</v>
      </c>
      <c r="M282">
        <v>4599</v>
      </c>
      <c r="O282">
        <v>0</v>
      </c>
      <c r="P282">
        <v>0</v>
      </c>
      <c r="Q282" t="s">
        <v>45</v>
      </c>
      <c r="R282" t="s">
        <v>46</v>
      </c>
      <c r="S282" t="s">
        <v>86</v>
      </c>
      <c r="T282" t="s">
        <v>87</v>
      </c>
      <c r="U282" t="s">
        <v>61</v>
      </c>
      <c r="V282" s="4">
        <v>45659</v>
      </c>
      <c r="W282" t="s">
        <v>1648</v>
      </c>
      <c r="X282" t="s">
        <v>1650</v>
      </c>
      <c r="Y282" t="s">
        <v>35</v>
      </c>
      <c r="Z282" t="s">
        <v>49</v>
      </c>
      <c r="AA282" t="s">
        <v>50</v>
      </c>
      <c r="AB282" s="4">
        <v>45687</v>
      </c>
      <c r="AC282" t="s">
        <v>1652</v>
      </c>
      <c r="AD282" t="s">
        <v>1653</v>
      </c>
      <c r="AE282" t="s">
        <v>52</v>
      </c>
    </row>
    <row r="283" spans="1:31" x14ac:dyDescent="0.3">
      <c r="A283" t="s">
        <v>1341</v>
      </c>
      <c r="B283" s="4">
        <v>45641</v>
      </c>
      <c r="C283" t="s">
        <v>1646</v>
      </c>
      <c r="D283" t="s">
        <v>1342</v>
      </c>
      <c r="E283" t="s">
        <v>26</v>
      </c>
      <c r="F283" t="s">
        <v>1343</v>
      </c>
      <c r="G283" t="s">
        <v>58</v>
      </c>
      <c r="H283" t="s">
        <v>1344</v>
      </c>
      <c r="I283">
        <v>2299</v>
      </c>
      <c r="J283">
        <v>1</v>
      </c>
      <c r="K283" t="s">
        <v>1647</v>
      </c>
      <c r="L283">
        <v>2299</v>
      </c>
      <c r="M283">
        <v>2299</v>
      </c>
      <c r="O283">
        <v>0</v>
      </c>
      <c r="P283">
        <v>0</v>
      </c>
      <c r="Q283" t="s">
        <v>30</v>
      </c>
      <c r="R283" t="s">
        <v>71</v>
      </c>
      <c r="S283" t="s">
        <v>95</v>
      </c>
      <c r="T283" t="s">
        <v>33</v>
      </c>
      <c r="U283" t="s">
        <v>32</v>
      </c>
      <c r="V283" s="4">
        <v>45659</v>
      </c>
      <c r="W283" t="s">
        <v>1648</v>
      </c>
      <c r="X283" t="s">
        <v>1650</v>
      </c>
      <c r="Y283" t="s">
        <v>35</v>
      </c>
      <c r="Z283" t="s">
        <v>36</v>
      </c>
      <c r="AB283" s="4"/>
      <c r="AC283" t="s">
        <v>1649</v>
      </c>
      <c r="AD283" t="s">
        <v>1651</v>
      </c>
      <c r="AE283" t="s">
        <v>37</v>
      </c>
    </row>
    <row r="284" spans="1:31" x14ac:dyDescent="0.3">
      <c r="A284" t="s">
        <v>1345</v>
      </c>
      <c r="B284" s="4">
        <v>45641</v>
      </c>
      <c r="C284" t="s">
        <v>1646</v>
      </c>
      <c r="D284" t="s">
        <v>1346</v>
      </c>
      <c r="E284" t="s">
        <v>40</v>
      </c>
      <c r="F284" t="s">
        <v>1347</v>
      </c>
      <c r="G284" t="s">
        <v>67</v>
      </c>
      <c r="H284" t="s">
        <v>1348</v>
      </c>
      <c r="I284">
        <v>5799</v>
      </c>
      <c r="J284">
        <v>1</v>
      </c>
      <c r="K284" t="s">
        <v>1647</v>
      </c>
      <c r="L284">
        <v>5799</v>
      </c>
      <c r="M284">
        <v>4639.2</v>
      </c>
      <c r="N284" t="s">
        <v>1101</v>
      </c>
      <c r="O284">
        <v>20</v>
      </c>
      <c r="P284">
        <v>1159.8</v>
      </c>
      <c r="Q284" t="s">
        <v>60</v>
      </c>
      <c r="R284" t="s">
        <v>31</v>
      </c>
      <c r="S284" t="s">
        <v>108</v>
      </c>
      <c r="T284" t="s">
        <v>109</v>
      </c>
      <c r="U284" t="s">
        <v>32</v>
      </c>
      <c r="V284" s="4">
        <v>45660</v>
      </c>
      <c r="W284" t="s">
        <v>1648</v>
      </c>
      <c r="X284" t="s">
        <v>1650</v>
      </c>
      <c r="Y284" t="s">
        <v>35</v>
      </c>
      <c r="Z284" t="s">
        <v>49</v>
      </c>
      <c r="AA284" t="s">
        <v>119</v>
      </c>
      <c r="AB284" s="4">
        <v>45688</v>
      </c>
      <c r="AC284" t="s">
        <v>1652</v>
      </c>
      <c r="AD284" t="s">
        <v>1653</v>
      </c>
      <c r="AE284" t="s">
        <v>52</v>
      </c>
    </row>
    <row r="285" spans="1:31" x14ac:dyDescent="0.3">
      <c r="A285" t="s">
        <v>1350</v>
      </c>
      <c r="B285" s="4">
        <v>45641</v>
      </c>
      <c r="C285" t="s">
        <v>1646</v>
      </c>
      <c r="D285" t="s">
        <v>1351</v>
      </c>
      <c r="E285" t="s">
        <v>26</v>
      </c>
      <c r="F285" t="s">
        <v>1352</v>
      </c>
      <c r="G285" t="s">
        <v>79</v>
      </c>
      <c r="H285" t="s">
        <v>1353</v>
      </c>
      <c r="I285">
        <v>799</v>
      </c>
      <c r="J285">
        <v>2</v>
      </c>
      <c r="K285" t="s">
        <v>1647</v>
      </c>
      <c r="L285">
        <v>1598</v>
      </c>
      <c r="M285">
        <v>1598</v>
      </c>
      <c r="O285">
        <v>0</v>
      </c>
      <c r="P285">
        <v>0</v>
      </c>
      <c r="Q285" t="s">
        <v>128</v>
      </c>
      <c r="R285" t="s">
        <v>46</v>
      </c>
      <c r="S285" t="s">
        <v>116</v>
      </c>
      <c r="T285" t="s">
        <v>117</v>
      </c>
      <c r="U285" t="s">
        <v>47</v>
      </c>
      <c r="V285" s="4">
        <v>45659</v>
      </c>
      <c r="W285" t="s">
        <v>1648</v>
      </c>
      <c r="X285" t="s">
        <v>1650</v>
      </c>
      <c r="Y285" t="s">
        <v>35</v>
      </c>
      <c r="Z285" t="s">
        <v>36</v>
      </c>
      <c r="AB285" s="4"/>
      <c r="AC285" t="s">
        <v>1649</v>
      </c>
      <c r="AD285" t="s">
        <v>1651</v>
      </c>
      <c r="AE285" t="s">
        <v>37</v>
      </c>
    </row>
    <row r="286" spans="1:31" x14ac:dyDescent="0.3">
      <c r="A286" t="s">
        <v>1354</v>
      </c>
      <c r="B286" s="4">
        <v>45641</v>
      </c>
      <c r="C286" t="s">
        <v>1646</v>
      </c>
      <c r="D286" t="s">
        <v>1355</v>
      </c>
      <c r="E286" t="s">
        <v>26</v>
      </c>
      <c r="F286" t="s">
        <v>1356</v>
      </c>
      <c r="G286" t="s">
        <v>28</v>
      </c>
      <c r="H286" t="s">
        <v>1357</v>
      </c>
      <c r="I286">
        <v>1999</v>
      </c>
      <c r="J286">
        <v>1</v>
      </c>
      <c r="K286" t="s">
        <v>1647</v>
      </c>
      <c r="L286">
        <v>1999</v>
      </c>
      <c r="M286">
        <v>1999</v>
      </c>
      <c r="O286">
        <v>0</v>
      </c>
      <c r="P286">
        <v>0</v>
      </c>
      <c r="Q286" t="s">
        <v>70</v>
      </c>
      <c r="R286" t="s">
        <v>71</v>
      </c>
      <c r="S286" t="s">
        <v>129</v>
      </c>
      <c r="T286" t="s">
        <v>130</v>
      </c>
      <c r="U286" t="s">
        <v>47</v>
      </c>
      <c r="V286" s="4">
        <v>45660</v>
      </c>
      <c r="W286" t="s">
        <v>1648</v>
      </c>
      <c r="X286" t="s">
        <v>1650</v>
      </c>
      <c r="Y286" t="s">
        <v>35</v>
      </c>
      <c r="Z286" t="s">
        <v>49</v>
      </c>
      <c r="AA286" t="s">
        <v>158</v>
      </c>
      <c r="AB286" s="4">
        <v>45687</v>
      </c>
      <c r="AC286" t="s">
        <v>1652</v>
      </c>
      <c r="AD286" t="s">
        <v>1653</v>
      </c>
      <c r="AE286" t="s">
        <v>52</v>
      </c>
    </row>
    <row r="287" spans="1:31" x14ac:dyDescent="0.3">
      <c r="A287" t="s">
        <v>1358</v>
      </c>
      <c r="B287" s="4">
        <v>45642</v>
      </c>
      <c r="C287" t="s">
        <v>1646</v>
      </c>
      <c r="D287" t="s">
        <v>1359</v>
      </c>
      <c r="E287" t="s">
        <v>26</v>
      </c>
      <c r="F287" t="s">
        <v>1360</v>
      </c>
      <c r="G287" t="s">
        <v>42</v>
      </c>
      <c r="H287" t="s">
        <v>1361</v>
      </c>
      <c r="I287">
        <v>3899</v>
      </c>
      <c r="J287">
        <v>1</v>
      </c>
      <c r="K287" t="s">
        <v>1647</v>
      </c>
      <c r="L287">
        <v>3899</v>
      </c>
      <c r="M287">
        <v>3119.2</v>
      </c>
      <c r="N287" t="s">
        <v>1101</v>
      </c>
      <c r="O287">
        <v>20</v>
      </c>
      <c r="P287">
        <v>779.8</v>
      </c>
      <c r="Q287" t="s">
        <v>45</v>
      </c>
      <c r="R287" t="s">
        <v>31</v>
      </c>
      <c r="S287" t="s">
        <v>61</v>
      </c>
      <c r="T287" t="s">
        <v>62</v>
      </c>
      <c r="U287" t="s">
        <v>61</v>
      </c>
      <c r="V287" s="4">
        <v>45661</v>
      </c>
      <c r="W287" t="s">
        <v>1648</v>
      </c>
      <c r="X287" t="s">
        <v>1650</v>
      </c>
      <c r="Y287" t="s">
        <v>35</v>
      </c>
      <c r="Z287" t="s">
        <v>49</v>
      </c>
      <c r="AA287" t="s">
        <v>50</v>
      </c>
      <c r="AB287" s="4">
        <v>45689</v>
      </c>
      <c r="AC287" t="s">
        <v>1652</v>
      </c>
      <c r="AD287" t="s">
        <v>1653</v>
      </c>
      <c r="AE287" t="s">
        <v>52</v>
      </c>
    </row>
    <row r="288" spans="1:31" x14ac:dyDescent="0.3">
      <c r="A288" t="s">
        <v>1363</v>
      </c>
      <c r="B288" s="4">
        <v>45642</v>
      </c>
      <c r="C288" t="s">
        <v>1646</v>
      </c>
      <c r="D288" t="s">
        <v>1364</v>
      </c>
      <c r="E288" t="s">
        <v>26</v>
      </c>
      <c r="F288" t="s">
        <v>1365</v>
      </c>
      <c r="G288" t="s">
        <v>58</v>
      </c>
      <c r="H288" t="s">
        <v>1366</v>
      </c>
      <c r="I288">
        <v>2599</v>
      </c>
      <c r="J288">
        <v>1</v>
      </c>
      <c r="K288" t="s">
        <v>1647</v>
      </c>
      <c r="L288">
        <v>2599</v>
      </c>
      <c r="M288">
        <v>2599</v>
      </c>
      <c r="O288">
        <v>0</v>
      </c>
      <c r="P288">
        <v>0</v>
      </c>
      <c r="Q288" t="s">
        <v>30</v>
      </c>
      <c r="R288" t="s">
        <v>46</v>
      </c>
      <c r="S288" t="s">
        <v>32</v>
      </c>
      <c r="T288" t="s">
        <v>33</v>
      </c>
      <c r="U288" t="s">
        <v>32</v>
      </c>
      <c r="V288" s="4">
        <v>45661</v>
      </c>
      <c r="W288" t="s">
        <v>1648</v>
      </c>
      <c r="X288" t="s">
        <v>1650</v>
      </c>
      <c r="Y288" t="s">
        <v>35</v>
      </c>
      <c r="Z288" t="s">
        <v>36</v>
      </c>
      <c r="AB288" s="4"/>
      <c r="AC288" t="s">
        <v>1649</v>
      </c>
      <c r="AD288" t="s">
        <v>1651</v>
      </c>
      <c r="AE288" t="s">
        <v>37</v>
      </c>
    </row>
    <row r="289" spans="1:31" x14ac:dyDescent="0.3">
      <c r="A289" t="s">
        <v>1367</v>
      </c>
      <c r="B289" s="4">
        <v>45642</v>
      </c>
      <c r="C289" t="s">
        <v>1646</v>
      </c>
      <c r="D289" t="s">
        <v>1368</v>
      </c>
      <c r="E289" t="s">
        <v>26</v>
      </c>
      <c r="F289" t="s">
        <v>1369</v>
      </c>
      <c r="G289" t="s">
        <v>67</v>
      </c>
      <c r="H289" t="s">
        <v>1370</v>
      </c>
      <c r="I289">
        <v>5299</v>
      </c>
      <c r="J289">
        <v>1</v>
      </c>
      <c r="K289" t="s">
        <v>1647</v>
      </c>
      <c r="L289">
        <v>5299</v>
      </c>
      <c r="M289">
        <v>5299</v>
      </c>
      <c r="O289">
        <v>0</v>
      </c>
      <c r="P289">
        <v>0</v>
      </c>
      <c r="Q289" t="s">
        <v>60</v>
      </c>
      <c r="R289" t="s">
        <v>71</v>
      </c>
      <c r="S289" t="s">
        <v>47</v>
      </c>
      <c r="T289" t="s">
        <v>47</v>
      </c>
      <c r="U289" t="s">
        <v>47</v>
      </c>
      <c r="V289" s="4">
        <v>45662</v>
      </c>
      <c r="W289" t="s">
        <v>1648</v>
      </c>
      <c r="X289" t="s">
        <v>1650</v>
      </c>
      <c r="Y289" t="s">
        <v>35</v>
      </c>
      <c r="Z289" t="s">
        <v>49</v>
      </c>
      <c r="AA289" t="s">
        <v>89</v>
      </c>
      <c r="AB289" s="4">
        <v>45690</v>
      </c>
      <c r="AC289" t="s">
        <v>1652</v>
      </c>
      <c r="AD289" t="s">
        <v>1653</v>
      </c>
      <c r="AE289" t="s">
        <v>52</v>
      </c>
    </row>
    <row r="290" spans="1:31" x14ac:dyDescent="0.3">
      <c r="A290" t="s">
        <v>1372</v>
      </c>
      <c r="B290" s="4">
        <v>45642</v>
      </c>
      <c r="C290" t="s">
        <v>1646</v>
      </c>
      <c r="D290" t="s">
        <v>1373</v>
      </c>
      <c r="E290" t="s">
        <v>40</v>
      </c>
      <c r="F290" t="s">
        <v>1374</v>
      </c>
      <c r="G290" t="s">
        <v>79</v>
      </c>
      <c r="H290" t="s">
        <v>1375</v>
      </c>
      <c r="I290">
        <v>1399</v>
      </c>
      <c r="J290">
        <v>1</v>
      </c>
      <c r="K290" t="s">
        <v>1647</v>
      </c>
      <c r="L290">
        <v>1399</v>
      </c>
      <c r="M290">
        <v>1119.2</v>
      </c>
      <c r="N290" t="s">
        <v>1101</v>
      </c>
      <c r="O290">
        <v>20</v>
      </c>
      <c r="P290">
        <v>279.8</v>
      </c>
      <c r="Q290" t="s">
        <v>128</v>
      </c>
      <c r="R290" t="s">
        <v>31</v>
      </c>
      <c r="S290" t="s">
        <v>135</v>
      </c>
      <c r="T290" t="s">
        <v>136</v>
      </c>
      <c r="U290" t="s">
        <v>47</v>
      </c>
      <c r="V290" s="4">
        <v>45661</v>
      </c>
      <c r="W290" t="s">
        <v>1648</v>
      </c>
      <c r="X290" t="s">
        <v>1650</v>
      </c>
      <c r="Y290" t="s">
        <v>35</v>
      </c>
      <c r="Z290" t="s">
        <v>36</v>
      </c>
      <c r="AB290" s="4"/>
      <c r="AC290" t="s">
        <v>1649</v>
      </c>
      <c r="AD290" t="s">
        <v>1651</v>
      </c>
      <c r="AE290" t="s">
        <v>37</v>
      </c>
    </row>
    <row r="291" spans="1:31" x14ac:dyDescent="0.3">
      <c r="A291" t="s">
        <v>1376</v>
      </c>
      <c r="B291" s="4">
        <v>45643</v>
      </c>
      <c r="C291" t="s">
        <v>1646</v>
      </c>
      <c r="D291" t="s">
        <v>1377</v>
      </c>
      <c r="E291" t="s">
        <v>26</v>
      </c>
      <c r="F291" t="s">
        <v>1378</v>
      </c>
      <c r="G291" t="s">
        <v>28</v>
      </c>
      <c r="H291" t="s">
        <v>1379</v>
      </c>
      <c r="I291">
        <v>1799</v>
      </c>
      <c r="J291">
        <v>1</v>
      </c>
      <c r="K291" t="s">
        <v>1647</v>
      </c>
      <c r="L291">
        <v>1799</v>
      </c>
      <c r="M291">
        <v>1799</v>
      </c>
      <c r="O291">
        <v>0</v>
      </c>
      <c r="P291">
        <v>0</v>
      </c>
      <c r="Q291" t="s">
        <v>70</v>
      </c>
      <c r="R291" t="s">
        <v>46</v>
      </c>
      <c r="S291" t="s">
        <v>156</v>
      </c>
      <c r="T291" t="s">
        <v>130</v>
      </c>
      <c r="U291" t="s">
        <v>47</v>
      </c>
      <c r="V291" s="4">
        <v>45662</v>
      </c>
      <c r="W291" t="s">
        <v>1648</v>
      </c>
      <c r="X291" t="s">
        <v>1650</v>
      </c>
      <c r="Y291" t="s">
        <v>35</v>
      </c>
      <c r="Z291" t="s">
        <v>49</v>
      </c>
      <c r="AA291" t="s">
        <v>75</v>
      </c>
      <c r="AB291" s="4">
        <v>45689</v>
      </c>
      <c r="AC291" t="s">
        <v>1652</v>
      </c>
      <c r="AD291" t="s">
        <v>1653</v>
      </c>
      <c r="AE291" t="s">
        <v>52</v>
      </c>
    </row>
    <row r="292" spans="1:31" x14ac:dyDescent="0.3">
      <c r="A292" t="s">
        <v>1380</v>
      </c>
      <c r="B292" s="4">
        <v>45643</v>
      </c>
      <c r="C292" t="s">
        <v>1646</v>
      </c>
      <c r="D292" t="s">
        <v>1381</v>
      </c>
      <c r="E292" t="s">
        <v>26</v>
      </c>
      <c r="F292" t="s">
        <v>1382</v>
      </c>
      <c r="G292" t="s">
        <v>42</v>
      </c>
      <c r="H292" t="s">
        <v>1383</v>
      </c>
      <c r="I292">
        <v>4199</v>
      </c>
      <c r="J292">
        <v>1</v>
      </c>
      <c r="K292" t="s">
        <v>1647</v>
      </c>
      <c r="L292">
        <v>4199</v>
      </c>
      <c r="M292">
        <v>4199</v>
      </c>
      <c r="O292">
        <v>0</v>
      </c>
      <c r="P292">
        <v>0</v>
      </c>
      <c r="Q292" t="s">
        <v>45</v>
      </c>
      <c r="R292" t="s">
        <v>71</v>
      </c>
      <c r="S292" t="s">
        <v>164</v>
      </c>
      <c r="T292" t="s">
        <v>165</v>
      </c>
      <c r="U292" t="s">
        <v>47</v>
      </c>
      <c r="V292" s="4">
        <v>45663</v>
      </c>
      <c r="W292" t="s">
        <v>1648</v>
      </c>
      <c r="X292" t="s">
        <v>1650</v>
      </c>
      <c r="Y292" t="s">
        <v>35</v>
      </c>
      <c r="Z292" t="s">
        <v>49</v>
      </c>
      <c r="AA292" t="s">
        <v>50</v>
      </c>
      <c r="AB292" s="4">
        <v>45691</v>
      </c>
      <c r="AC292" t="s">
        <v>1652</v>
      </c>
      <c r="AD292" t="s">
        <v>1653</v>
      </c>
      <c r="AE292" t="s">
        <v>52</v>
      </c>
    </row>
    <row r="293" spans="1:31" x14ac:dyDescent="0.3">
      <c r="A293" t="s">
        <v>1385</v>
      </c>
      <c r="B293" s="4">
        <v>45643</v>
      </c>
      <c r="C293" t="s">
        <v>1646</v>
      </c>
      <c r="D293" t="s">
        <v>1386</v>
      </c>
      <c r="E293" t="s">
        <v>26</v>
      </c>
      <c r="F293" t="s">
        <v>1387</v>
      </c>
      <c r="G293" t="s">
        <v>58</v>
      </c>
      <c r="H293" t="s">
        <v>1388</v>
      </c>
      <c r="I293">
        <v>2799</v>
      </c>
      <c r="J293">
        <v>1</v>
      </c>
      <c r="K293" t="s">
        <v>1647</v>
      </c>
      <c r="L293">
        <v>2799</v>
      </c>
      <c r="M293">
        <v>2239.1999999999998</v>
      </c>
      <c r="N293" t="s">
        <v>1101</v>
      </c>
      <c r="O293">
        <v>20</v>
      </c>
      <c r="P293">
        <v>559.79999999999995</v>
      </c>
      <c r="Q293" t="s">
        <v>30</v>
      </c>
      <c r="R293" t="s">
        <v>31</v>
      </c>
      <c r="S293" t="s">
        <v>171</v>
      </c>
      <c r="T293" t="s">
        <v>172</v>
      </c>
      <c r="U293" t="s">
        <v>32</v>
      </c>
      <c r="V293" s="4">
        <v>45663</v>
      </c>
      <c r="W293" t="s">
        <v>1648</v>
      </c>
      <c r="X293" t="s">
        <v>1650</v>
      </c>
      <c r="Y293" t="s">
        <v>35</v>
      </c>
      <c r="Z293" t="s">
        <v>36</v>
      </c>
      <c r="AB293" s="4"/>
      <c r="AC293" t="s">
        <v>1649</v>
      </c>
      <c r="AD293" t="s">
        <v>1651</v>
      </c>
      <c r="AE293" t="s">
        <v>37</v>
      </c>
    </row>
    <row r="294" spans="1:31" x14ac:dyDescent="0.3">
      <c r="A294" t="s">
        <v>1389</v>
      </c>
      <c r="B294" s="4">
        <v>45643</v>
      </c>
      <c r="C294" t="s">
        <v>1646</v>
      </c>
      <c r="D294" t="s">
        <v>1390</v>
      </c>
      <c r="E294" t="s">
        <v>26</v>
      </c>
      <c r="F294" t="s">
        <v>1391</v>
      </c>
      <c r="G294" t="s">
        <v>67</v>
      </c>
      <c r="H294" t="s">
        <v>1392</v>
      </c>
      <c r="I294">
        <v>5499</v>
      </c>
      <c r="J294">
        <v>1</v>
      </c>
      <c r="K294" t="s">
        <v>1647</v>
      </c>
      <c r="L294">
        <v>5499</v>
      </c>
      <c r="M294">
        <v>5499</v>
      </c>
      <c r="O294">
        <v>0</v>
      </c>
      <c r="P294">
        <v>0</v>
      </c>
      <c r="Q294" t="s">
        <v>60</v>
      </c>
      <c r="R294" t="s">
        <v>46</v>
      </c>
      <c r="S294" t="s">
        <v>177</v>
      </c>
      <c r="T294" t="s">
        <v>109</v>
      </c>
      <c r="U294" t="s">
        <v>32</v>
      </c>
      <c r="V294" s="4">
        <v>45664</v>
      </c>
      <c r="W294" t="s">
        <v>1648</v>
      </c>
      <c r="X294" t="s">
        <v>1650</v>
      </c>
      <c r="Y294" t="s">
        <v>35</v>
      </c>
      <c r="Z294" t="s">
        <v>49</v>
      </c>
      <c r="AA294" t="s">
        <v>119</v>
      </c>
      <c r="AB294" s="4">
        <v>45692</v>
      </c>
      <c r="AC294" t="s">
        <v>1652</v>
      </c>
      <c r="AD294" t="s">
        <v>1653</v>
      </c>
      <c r="AE294" t="s">
        <v>52</v>
      </c>
    </row>
    <row r="295" spans="1:31" x14ac:dyDescent="0.3">
      <c r="A295" t="s">
        <v>1394</v>
      </c>
      <c r="B295" s="4">
        <v>45644</v>
      </c>
      <c r="C295" t="s">
        <v>1646</v>
      </c>
      <c r="D295" t="s">
        <v>1395</v>
      </c>
      <c r="E295" t="s">
        <v>40</v>
      </c>
      <c r="F295" t="s">
        <v>1396</v>
      </c>
      <c r="G295" t="s">
        <v>79</v>
      </c>
      <c r="H295" t="s">
        <v>1397</v>
      </c>
      <c r="I295">
        <v>699</v>
      </c>
      <c r="J295">
        <v>2</v>
      </c>
      <c r="K295" t="s">
        <v>1647</v>
      </c>
      <c r="L295">
        <v>1398</v>
      </c>
      <c r="M295">
        <v>1398</v>
      </c>
      <c r="O295">
        <v>0</v>
      </c>
      <c r="P295">
        <v>0</v>
      </c>
      <c r="Q295" t="s">
        <v>128</v>
      </c>
      <c r="R295" t="s">
        <v>71</v>
      </c>
      <c r="S295" t="s">
        <v>184</v>
      </c>
      <c r="T295" t="s">
        <v>185</v>
      </c>
      <c r="U295" t="s">
        <v>47</v>
      </c>
      <c r="V295" s="4">
        <v>45663</v>
      </c>
      <c r="W295" t="s">
        <v>1648</v>
      </c>
      <c r="X295" t="s">
        <v>1650</v>
      </c>
      <c r="Y295" t="s">
        <v>35</v>
      </c>
      <c r="Z295" t="s">
        <v>36</v>
      </c>
      <c r="AB295" s="4"/>
      <c r="AC295" t="s">
        <v>1649</v>
      </c>
      <c r="AD295" t="s">
        <v>1651</v>
      </c>
      <c r="AE295" t="s">
        <v>37</v>
      </c>
    </row>
    <row r="296" spans="1:31" x14ac:dyDescent="0.3">
      <c r="A296" t="s">
        <v>1398</v>
      </c>
      <c r="B296" s="4">
        <v>45644</v>
      </c>
      <c r="C296" t="s">
        <v>1646</v>
      </c>
      <c r="D296" t="s">
        <v>1399</v>
      </c>
      <c r="E296" t="s">
        <v>26</v>
      </c>
      <c r="F296" t="s">
        <v>1400</v>
      </c>
      <c r="G296" t="s">
        <v>28</v>
      </c>
      <c r="H296" t="s">
        <v>1401</v>
      </c>
      <c r="I296">
        <v>2299</v>
      </c>
      <c r="J296">
        <v>1</v>
      </c>
      <c r="K296" t="s">
        <v>1647</v>
      </c>
      <c r="L296">
        <v>2299</v>
      </c>
      <c r="M296">
        <v>1839.2</v>
      </c>
      <c r="N296" t="s">
        <v>1101</v>
      </c>
      <c r="O296">
        <v>20</v>
      </c>
      <c r="P296">
        <v>459.8</v>
      </c>
      <c r="Q296" t="s">
        <v>70</v>
      </c>
      <c r="R296" t="s">
        <v>31</v>
      </c>
      <c r="S296" t="s">
        <v>190</v>
      </c>
      <c r="T296" t="s">
        <v>172</v>
      </c>
      <c r="U296" t="s">
        <v>32</v>
      </c>
      <c r="V296" s="4">
        <v>45664</v>
      </c>
      <c r="W296" t="s">
        <v>1648</v>
      </c>
      <c r="X296" t="s">
        <v>1650</v>
      </c>
      <c r="Y296" t="s">
        <v>35</v>
      </c>
      <c r="Z296" t="s">
        <v>49</v>
      </c>
      <c r="AA296" t="s">
        <v>158</v>
      </c>
      <c r="AB296" s="4">
        <v>45691</v>
      </c>
      <c r="AC296" t="s">
        <v>1652</v>
      </c>
      <c r="AD296" t="s">
        <v>1653</v>
      </c>
      <c r="AE296" t="s">
        <v>52</v>
      </c>
    </row>
    <row r="297" spans="1:31" x14ac:dyDescent="0.3">
      <c r="A297" t="s">
        <v>1402</v>
      </c>
      <c r="B297" s="4">
        <v>45644</v>
      </c>
      <c r="C297" t="s">
        <v>1646</v>
      </c>
      <c r="D297" t="s">
        <v>1403</v>
      </c>
      <c r="E297" t="s">
        <v>26</v>
      </c>
      <c r="F297" t="s">
        <v>1404</v>
      </c>
      <c r="G297" t="s">
        <v>42</v>
      </c>
      <c r="H297" t="s">
        <v>1405</v>
      </c>
      <c r="I297">
        <v>3599</v>
      </c>
      <c r="J297">
        <v>1</v>
      </c>
      <c r="K297" t="s">
        <v>1647</v>
      </c>
      <c r="L297">
        <v>3599</v>
      </c>
      <c r="M297">
        <v>3599</v>
      </c>
      <c r="O297">
        <v>0</v>
      </c>
      <c r="P297">
        <v>0</v>
      </c>
      <c r="Q297" t="s">
        <v>45</v>
      </c>
      <c r="R297" t="s">
        <v>46</v>
      </c>
      <c r="S297" t="s">
        <v>195</v>
      </c>
      <c r="T297" t="s">
        <v>33</v>
      </c>
      <c r="U297" t="s">
        <v>32</v>
      </c>
      <c r="V297" s="4">
        <v>45665</v>
      </c>
      <c r="W297" t="s">
        <v>1648</v>
      </c>
      <c r="X297" t="s">
        <v>1650</v>
      </c>
      <c r="Y297" t="s">
        <v>35</v>
      </c>
      <c r="Z297" t="s">
        <v>36</v>
      </c>
      <c r="AB297" s="4"/>
      <c r="AC297" t="s">
        <v>1649</v>
      </c>
      <c r="AD297" t="s">
        <v>1651</v>
      </c>
      <c r="AE297" t="s">
        <v>37</v>
      </c>
    </row>
    <row r="298" spans="1:31" x14ac:dyDescent="0.3">
      <c r="A298" t="s">
        <v>1406</v>
      </c>
      <c r="B298" s="4">
        <v>45644</v>
      </c>
      <c r="C298" t="s">
        <v>1646</v>
      </c>
      <c r="D298" t="s">
        <v>1407</v>
      </c>
      <c r="E298" t="s">
        <v>26</v>
      </c>
      <c r="F298" t="s">
        <v>1408</v>
      </c>
      <c r="G298" t="s">
        <v>58</v>
      </c>
      <c r="H298" t="s">
        <v>1409</v>
      </c>
      <c r="I298">
        <v>2499</v>
      </c>
      <c r="J298">
        <v>1</v>
      </c>
      <c r="K298" t="s">
        <v>1647</v>
      </c>
      <c r="L298">
        <v>2499</v>
      </c>
      <c r="M298">
        <v>2499</v>
      </c>
      <c r="O298">
        <v>0</v>
      </c>
      <c r="P298">
        <v>0</v>
      </c>
      <c r="Q298" t="s">
        <v>30</v>
      </c>
      <c r="R298" t="s">
        <v>71</v>
      </c>
      <c r="S298" t="s">
        <v>202</v>
      </c>
      <c r="T298" t="s">
        <v>73</v>
      </c>
      <c r="U298" t="s">
        <v>61</v>
      </c>
      <c r="V298" s="4">
        <v>45665</v>
      </c>
      <c r="W298" t="s">
        <v>1648</v>
      </c>
      <c r="X298" t="s">
        <v>1650</v>
      </c>
      <c r="Y298" t="s">
        <v>35</v>
      </c>
      <c r="Z298" t="s">
        <v>49</v>
      </c>
      <c r="AA298" t="s">
        <v>50</v>
      </c>
      <c r="AB298" s="4">
        <v>45693</v>
      </c>
      <c r="AC298" t="s">
        <v>1652</v>
      </c>
      <c r="AD298" t="s">
        <v>1653</v>
      </c>
      <c r="AE298" t="s">
        <v>52</v>
      </c>
    </row>
    <row r="299" spans="1:31" x14ac:dyDescent="0.3">
      <c r="A299" t="s">
        <v>1411</v>
      </c>
      <c r="B299" s="4">
        <v>45645</v>
      </c>
      <c r="C299" t="s">
        <v>1646</v>
      </c>
      <c r="D299" t="s">
        <v>1412</v>
      </c>
      <c r="E299" t="s">
        <v>26</v>
      </c>
      <c r="F299" t="s">
        <v>1413</v>
      </c>
      <c r="G299" t="s">
        <v>67</v>
      </c>
      <c r="H299" t="s">
        <v>1414</v>
      </c>
      <c r="I299">
        <v>6799</v>
      </c>
      <c r="J299">
        <v>1</v>
      </c>
      <c r="K299" t="s">
        <v>1647</v>
      </c>
      <c r="L299">
        <v>6799</v>
      </c>
      <c r="M299">
        <v>5439.2</v>
      </c>
      <c r="N299" t="s">
        <v>1101</v>
      </c>
      <c r="O299">
        <v>20</v>
      </c>
      <c r="P299">
        <v>1359.8</v>
      </c>
      <c r="Q299" t="s">
        <v>60</v>
      </c>
      <c r="R299" t="s">
        <v>31</v>
      </c>
      <c r="S299" t="s">
        <v>208</v>
      </c>
      <c r="T299" t="s">
        <v>209</v>
      </c>
      <c r="U299" t="s">
        <v>61</v>
      </c>
      <c r="V299" s="4">
        <v>45666</v>
      </c>
      <c r="W299" t="s">
        <v>1648</v>
      </c>
      <c r="X299" t="s">
        <v>1650</v>
      </c>
      <c r="Y299" t="s">
        <v>35</v>
      </c>
      <c r="Z299" t="s">
        <v>49</v>
      </c>
      <c r="AA299" t="s">
        <v>89</v>
      </c>
      <c r="AB299" s="4">
        <v>45694</v>
      </c>
      <c r="AC299" t="s">
        <v>1652</v>
      </c>
      <c r="AD299" t="s">
        <v>1653</v>
      </c>
      <c r="AE299" t="s">
        <v>52</v>
      </c>
    </row>
    <row r="300" spans="1:31" x14ac:dyDescent="0.3">
      <c r="A300" t="s">
        <v>1416</v>
      </c>
      <c r="B300" s="4">
        <v>45645</v>
      </c>
      <c r="C300" t="s">
        <v>1646</v>
      </c>
      <c r="D300" t="s">
        <v>1417</v>
      </c>
      <c r="E300" t="s">
        <v>40</v>
      </c>
      <c r="F300" t="s">
        <v>1418</v>
      </c>
      <c r="G300" t="s">
        <v>79</v>
      </c>
      <c r="H300" t="s">
        <v>1419</v>
      </c>
      <c r="I300">
        <v>599</v>
      </c>
      <c r="J300">
        <v>3</v>
      </c>
      <c r="K300" t="s">
        <v>1647</v>
      </c>
      <c r="L300">
        <v>1797</v>
      </c>
      <c r="M300">
        <v>1797</v>
      </c>
      <c r="O300">
        <v>0</v>
      </c>
      <c r="P300">
        <v>0</v>
      </c>
      <c r="Q300" t="s">
        <v>128</v>
      </c>
      <c r="R300" t="s">
        <v>46</v>
      </c>
      <c r="S300" t="s">
        <v>215</v>
      </c>
      <c r="T300" t="s">
        <v>216</v>
      </c>
      <c r="U300" t="s">
        <v>61</v>
      </c>
      <c r="V300" s="4">
        <v>45665</v>
      </c>
      <c r="W300" t="s">
        <v>1648</v>
      </c>
      <c r="X300" t="s">
        <v>1650</v>
      </c>
      <c r="Y300" t="s">
        <v>35</v>
      </c>
      <c r="Z300" t="s">
        <v>36</v>
      </c>
      <c r="AB300" s="4"/>
      <c r="AC300" t="s">
        <v>1649</v>
      </c>
      <c r="AD300" t="s">
        <v>1651</v>
      </c>
      <c r="AE300" t="s">
        <v>37</v>
      </c>
    </row>
    <row r="301" spans="1:31" x14ac:dyDescent="0.3">
      <c r="A301" t="s">
        <v>1420</v>
      </c>
      <c r="B301" s="4">
        <v>45645</v>
      </c>
      <c r="C301" t="s">
        <v>1646</v>
      </c>
      <c r="D301" t="s">
        <v>1421</v>
      </c>
      <c r="E301" t="s">
        <v>26</v>
      </c>
      <c r="F301" t="s">
        <v>1422</v>
      </c>
      <c r="G301" t="s">
        <v>28</v>
      </c>
      <c r="H301" t="s">
        <v>1423</v>
      </c>
      <c r="I301">
        <v>1899</v>
      </c>
      <c r="J301">
        <v>1</v>
      </c>
      <c r="K301" t="s">
        <v>1647</v>
      </c>
      <c r="L301">
        <v>1899</v>
      </c>
      <c r="M301">
        <v>1899</v>
      </c>
      <c r="O301">
        <v>0</v>
      </c>
      <c r="P301">
        <v>0</v>
      </c>
      <c r="Q301" t="s">
        <v>70</v>
      </c>
      <c r="R301" t="s">
        <v>71</v>
      </c>
      <c r="S301" t="s">
        <v>221</v>
      </c>
      <c r="T301" t="s">
        <v>209</v>
      </c>
      <c r="U301" t="s">
        <v>61</v>
      </c>
      <c r="V301" s="4">
        <v>45666</v>
      </c>
      <c r="W301" t="s">
        <v>1648</v>
      </c>
      <c r="X301" t="s">
        <v>1650</v>
      </c>
      <c r="Y301" t="s">
        <v>35</v>
      </c>
      <c r="Z301" t="s">
        <v>49</v>
      </c>
      <c r="AA301" t="s">
        <v>75</v>
      </c>
      <c r="AB301" s="4">
        <v>45693</v>
      </c>
      <c r="AC301" t="s">
        <v>1652</v>
      </c>
      <c r="AD301" t="s">
        <v>1653</v>
      </c>
      <c r="AE301" t="s">
        <v>52</v>
      </c>
    </row>
    <row r="302" spans="1:31" x14ac:dyDescent="0.3">
      <c r="A302" t="s">
        <v>1424</v>
      </c>
      <c r="B302" s="4">
        <v>45645</v>
      </c>
      <c r="C302" t="s">
        <v>1646</v>
      </c>
      <c r="D302" t="s">
        <v>1425</v>
      </c>
      <c r="E302" t="s">
        <v>26</v>
      </c>
      <c r="F302" t="s">
        <v>1426</v>
      </c>
      <c r="G302" t="s">
        <v>42</v>
      </c>
      <c r="H302" t="s">
        <v>1427</v>
      </c>
      <c r="I302">
        <v>4499</v>
      </c>
      <c r="J302">
        <v>1</v>
      </c>
      <c r="K302" t="s">
        <v>1647</v>
      </c>
      <c r="L302">
        <v>4499</v>
      </c>
      <c r="M302">
        <v>3599.2</v>
      </c>
      <c r="N302" t="s">
        <v>1101</v>
      </c>
      <c r="O302">
        <v>20</v>
      </c>
      <c r="P302">
        <v>899.8</v>
      </c>
      <c r="Q302" t="s">
        <v>45</v>
      </c>
      <c r="R302" t="s">
        <v>31</v>
      </c>
      <c r="S302" t="s">
        <v>226</v>
      </c>
      <c r="T302" t="s">
        <v>62</v>
      </c>
      <c r="U302" t="s">
        <v>61</v>
      </c>
      <c r="V302" s="4">
        <v>45667</v>
      </c>
      <c r="W302" t="s">
        <v>1648</v>
      </c>
      <c r="X302" t="s">
        <v>1650</v>
      </c>
      <c r="Y302" t="s">
        <v>35</v>
      </c>
      <c r="Z302" t="s">
        <v>49</v>
      </c>
      <c r="AA302" t="s">
        <v>50</v>
      </c>
      <c r="AB302" s="4">
        <v>45695</v>
      </c>
      <c r="AC302" t="s">
        <v>1652</v>
      </c>
      <c r="AD302" t="s">
        <v>1653</v>
      </c>
      <c r="AE302" t="s">
        <v>52</v>
      </c>
    </row>
    <row r="303" spans="1:31" x14ac:dyDescent="0.3">
      <c r="A303" t="s">
        <v>1429</v>
      </c>
      <c r="B303" s="4">
        <v>45646</v>
      </c>
      <c r="C303" t="s">
        <v>1646</v>
      </c>
      <c r="D303" t="s">
        <v>1430</v>
      </c>
      <c r="E303" t="s">
        <v>26</v>
      </c>
      <c r="F303" t="s">
        <v>1431</v>
      </c>
      <c r="G303" t="s">
        <v>58</v>
      </c>
      <c r="H303" t="s">
        <v>1432</v>
      </c>
      <c r="I303">
        <v>2199</v>
      </c>
      <c r="J303">
        <v>1</v>
      </c>
      <c r="K303" t="s">
        <v>1647</v>
      </c>
      <c r="L303">
        <v>2199</v>
      </c>
      <c r="M303">
        <v>2199</v>
      </c>
      <c r="O303">
        <v>0</v>
      </c>
      <c r="P303">
        <v>0</v>
      </c>
      <c r="Q303" t="s">
        <v>30</v>
      </c>
      <c r="R303" t="s">
        <v>46</v>
      </c>
      <c r="S303" t="s">
        <v>233</v>
      </c>
      <c r="T303" t="s">
        <v>109</v>
      </c>
      <c r="U303" t="s">
        <v>32</v>
      </c>
      <c r="V303" s="4">
        <v>45667</v>
      </c>
      <c r="W303" t="s">
        <v>1648</v>
      </c>
      <c r="X303" t="s">
        <v>1650</v>
      </c>
      <c r="Y303" t="s">
        <v>35</v>
      </c>
      <c r="Z303" t="s">
        <v>36</v>
      </c>
      <c r="AB303" s="4"/>
      <c r="AC303" t="s">
        <v>1649</v>
      </c>
      <c r="AD303" t="s">
        <v>1651</v>
      </c>
      <c r="AE303" t="s">
        <v>37</v>
      </c>
    </row>
    <row r="304" spans="1:31" x14ac:dyDescent="0.3">
      <c r="A304" t="s">
        <v>1433</v>
      </c>
      <c r="B304" s="4">
        <v>45646</v>
      </c>
      <c r="C304" t="s">
        <v>1646</v>
      </c>
      <c r="D304" t="s">
        <v>1434</v>
      </c>
      <c r="E304" t="s">
        <v>26</v>
      </c>
      <c r="F304" t="s">
        <v>1435</v>
      </c>
      <c r="G304" t="s">
        <v>67</v>
      </c>
      <c r="H304" t="s">
        <v>1436</v>
      </c>
      <c r="I304">
        <v>5199</v>
      </c>
      <c r="J304">
        <v>1</v>
      </c>
      <c r="K304" t="s">
        <v>1647</v>
      </c>
      <c r="L304">
        <v>5199</v>
      </c>
      <c r="M304">
        <v>5199</v>
      </c>
      <c r="O304">
        <v>0</v>
      </c>
      <c r="P304">
        <v>0</v>
      </c>
      <c r="Q304" t="s">
        <v>60</v>
      </c>
      <c r="R304" t="s">
        <v>71</v>
      </c>
      <c r="S304" t="s">
        <v>238</v>
      </c>
      <c r="T304" t="s">
        <v>109</v>
      </c>
      <c r="U304" t="s">
        <v>32</v>
      </c>
      <c r="V304" s="4">
        <v>45668</v>
      </c>
      <c r="W304" t="s">
        <v>1648</v>
      </c>
      <c r="X304" t="s">
        <v>1650</v>
      </c>
      <c r="Y304" t="s">
        <v>35</v>
      </c>
      <c r="Z304" t="s">
        <v>49</v>
      </c>
      <c r="AA304" t="s">
        <v>119</v>
      </c>
      <c r="AB304" s="4">
        <v>45696</v>
      </c>
      <c r="AC304" t="s">
        <v>1652</v>
      </c>
      <c r="AD304" t="s">
        <v>1653</v>
      </c>
      <c r="AE304" t="s">
        <v>52</v>
      </c>
    </row>
    <row r="305" spans="1:31" x14ac:dyDescent="0.3">
      <c r="A305" t="s">
        <v>1438</v>
      </c>
      <c r="B305" s="4">
        <v>45646</v>
      </c>
      <c r="C305" t="s">
        <v>1646</v>
      </c>
      <c r="D305" t="s">
        <v>1439</v>
      </c>
      <c r="E305" t="s">
        <v>40</v>
      </c>
      <c r="F305" t="s">
        <v>1440</v>
      </c>
      <c r="G305" t="s">
        <v>79</v>
      </c>
      <c r="H305" t="s">
        <v>1441</v>
      </c>
      <c r="I305">
        <v>499</v>
      </c>
      <c r="J305">
        <v>2</v>
      </c>
      <c r="K305" t="s">
        <v>1647</v>
      </c>
      <c r="L305">
        <v>998</v>
      </c>
      <c r="M305">
        <v>798.4</v>
      </c>
      <c r="N305" t="s">
        <v>1101</v>
      </c>
      <c r="O305">
        <v>20</v>
      </c>
      <c r="P305">
        <v>199.6</v>
      </c>
      <c r="Q305" t="s">
        <v>128</v>
      </c>
      <c r="R305" t="s">
        <v>31</v>
      </c>
      <c r="S305" t="s">
        <v>243</v>
      </c>
      <c r="T305" t="s">
        <v>130</v>
      </c>
      <c r="U305" t="s">
        <v>47</v>
      </c>
      <c r="V305" s="4">
        <v>45667</v>
      </c>
      <c r="W305" t="s">
        <v>1648</v>
      </c>
      <c r="X305" t="s">
        <v>1650</v>
      </c>
      <c r="Y305" t="s">
        <v>35</v>
      </c>
      <c r="Z305" t="s">
        <v>36</v>
      </c>
      <c r="AB305" s="4"/>
      <c r="AC305" t="s">
        <v>1649</v>
      </c>
      <c r="AD305" t="s">
        <v>1651</v>
      </c>
      <c r="AE305" t="s">
        <v>37</v>
      </c>
    </row>
    <row r="306" spans="1:31" x14ac:dyDescent="0.3">
      <c r="A306" t="s">
        <v>1442</v>
      </c>
      <c r="B306" s="4">
        <v>45646</v>
      </c>
      <c r="C306" t="s">
        <v>1646</v>
      </c>
      <c r="D306" t="s">
        <v>1443</v>
      </c>
      <c r="E306" t="s">
        <v>26</v>
      </c>
      <c r="F306" t="s">
        <v>1444</v>
      </c>
      <c r="G306" t="s">
        <v>28</v>
      </c>
      <c r="H306" t="s">
        <v>1445</v>
      </c>
      <c r="I306">
        <v>2099</v>
      </c>
      <c r="J306">
        <v>1</v>
      </c>
      <c r="K306" t="s">
        <v>1647</v>
      </c>
      <c r="L306">
        <v>2099</v>
      </c>
      <c r="M306">
        <v>2099</v>
      </c>
      <c r="O306">
        <v>0</v>
      </c>
      <c r="P306">
        <v>0</v>
      </c>
      <c r="Q306" t="s">
        <v>70</v>
      </c>
      <c r="R306" t="s">
        <v>46</v>
      </c>
      <c r="S306" t="s">
        <v>32</v>
      </c>
      <c r="T306" t="s">
        <v>33</v>
      </c>
      <c r="U306" t="s">
        <v>32</v>
      </c>
      <c r="V306" s="4">
        <v>45668</v>
      </c>
      <c r="W306" t="s">
        <v>1648</v>
      </c>
      <c r="X306" t="s">
        <v>1650</v>
      </c>
      <c r="Y306" t="s">
        <v>35</v>
      </c>
      <c r="Z306" t="s">
        <v>49</v>
      </c>
      <c r="AA306" t="s">
        <v>158</v>
      </c>
      <c r="AB306" s="4">
        <v>45695</v>
      </c>
      <c r="AC306" t="s">
        <v>1652</v>
      </c>
      <c r="AD306" t="s">
        <v>1653</v>
      </c>
      <c r="AE306" t="s">
        <v>52</v>
      </c>
    </row>
    <row r="307" spans="1:31" x14ac:dyDescent="0.3">
      <c r="A307" t="s">
        <v>1446</v>
      </c>
      <c r="B307" s="4">
        <v>45647</v>
      </c>
      <c r="C307" t="s">
        <v>1646</v>
      </c>
      <c r="D307" t="s">
        <v>1447</v>
      </c>
      <c r="E307" t="s">
        <v>26</v>
      </c>
      <c r="F307" t="s">
        <v>1448</v>
      </c>
      <c r="G307" t="s">
        <v>42</v>
      </c>
      <c r="H307" t="s">
        <v>1449</v>
      </c>
      <c r="I307">
        <v>3999</v>
      </c>
      <c r="J307">
        <v>1</v>
      </c>
      <c r="K307" t="s">
        <v>1647</v>
      </c>
      <c r="L307">
        <v>3999</v>
      </c>
      <c r="M307">
        <v>3999</v>
      </c>
      <c r="O307">
        <v>0</v>
      </c>
      <c r="P307">
        <v>0</v>
      </c>
      <c r="Q307" t="s">
        <v>45</v>
      </c>
      <c r="R307" t="s">
        <v>71</v>
      </c>
      <c r="S307" t="s">
        <v>47</v>
      </c>
      <c r="T307" t="s">
        <v>47</v>
      </c>
      <c r="U307" t="s">
        <v>47</v>
      </c>
      <c r="V307" s="4">
        <v>45669</v>
      </c>
      <c r="W307" t="s">
        <v>1648</v>
      </c>
      <c r="X307" t="s">
        <v>1650</v>
      </c>
      <c r="Y307" t="s">
        <v>35</v>
      </c>
      <c r="Z307" t="s">
        <v>49</v>
      </c>
      <c r="AA307" t="s">
        <v>50</v>
      </c>
      <c r="AB307" s="4">
        <v>45697</v>
      </c>
      <c r="AC307" t="s">
        <v>1652</v>
      </c>
      <c r="AD307" t="s">
        <v>1653</v>
      </c>
      <c r="AE307" t="s">
        <v>52</v>
      </c>
    </row>
    <row r="308" spans="1:31" x14ac:dyDescent="0.3">
      <c r="A308" t="s">
        <v>1451</v>
      </c>
      <c r="B308" s="4">
        <v>45647</v>
      </c>
      <c r="C308" t="s">
        <v>1646</v>
      </c>
      <c r="D308" t="s">
        <v>1452</v>
      </c>
      <c r="E308" t="s">
        <v>26</v>
      </c>
      <c r="F308" t="s">
        <v>1453</v>
      </c>
      <c r="G308" t="s">
        <v>58</v>
      </c>
      <c r="H308" t="s">
        <v>1454</v>
      </c>
      <c r="I308">
        <v>2399</v>
      </c>
      <c r="J308">
        <v>1</v>
      </c>
      <c r="K308" t="s">
        <v>1647</v>
      </c>
      <c r="L308">
        <v>2399</v>
      </c>
      <c r="M308">
        <v>1919.2</v>
      </c>
      <c r="N308" t="s">
        <v>1101</v>
      </c>
      <c r="O308">
        <v>20</v>
      </c>
      <c r="P308">
        <v>479.8</v>
      </c>
      <c r="Q308" t="s">
        <v>30</v>
      </c>
      <c r="R308" t="s">
        <v>31</v>
      </c>
      <c r="S308" t="s">
        <v>101</v>
      </c>
      <c r="T308" t="s">
        <v>102</v>
      </c>
      <c r="U308" t="s">
        <v>47</v>
      </c>
      <c r="V308" s="4">
        <v>45669</v>
      </c>
      <c r="W308" t="s">
        <v>1648</v>
      </c>
      <c r="X308" t="s">
        <v>1650</v>
      </c>
      <c r="Y308" t="s">
        <v>35</v>
      </c>
      <c r="Z308" t="s">
        <v>36</v>
      </c>
      <c r="AB308" s="4"/>
      <c r="AC308" t="s">
        <v>1649</v>
      </c>
      <c r="AD308" t="s">
        <v>1651</v>
      </c>
      <c r="AE308" t="s">
        <v>37</v>
      </c>
    </row>
    <row r="309" spans="1:31" x14ac:dyDescent="0.3">
      <c r="A309" t="s">
        <v>1455</v>
      </c>
      <c r="B309" s="4">
        <v>45647</v>
      </c>
      <c r="C309" t="s">
        <v>1646</v>
      </c>
      <c r="D309" t="s">
        <v>1456</v>
      </c>
      <c r="E309" t="s">
        <v>26</v>
      </c>
      <c r="F309" t="s">
        <v>1457</v>
      </c>
      <c r="G309" t="s">
        <v>67</v>
      </c>
      <c r="H309" t="s">
        <v>1458</v>
      </c>
      <c r="I309">
        <v>7299</v>
      </c>
      <c r="J309">
        <v>1</v>
      </c>
      <c r="K309" t="s">
        <v>1647</v>
      </c>
      <c r="L309">
        <v>7299</v>
      </c>
      <c r="M309">
        <v>7299</v>
      </c>
      <c r="O309">
        <v>0</v>
      </c>
      <c r="P309">
        <v>0</v>
      </c>
      <c r="Q309" t="s">
        <v>60</v>
      </c>
      <c r="R309" t="s">
        <v>46</v>
      </c>
      <c r="S309" t="s">
        <v>72</v>
      </c>
      <c r="T309" t="s">
        <v>73</v>
      </c>
      <c r="U309" t="s">
        <v>61</v>
      </c>
      <c r="V309" s="4">
        <v>45670</v>
      </c>
      <c r="W309" t="s">
        <v>1648</v>
      </c>
      <c r="X309" t="s">
        <v>1650</v>
      </c>
      <c r="Y309" t="s">
        <v>35</v>
      </c>
      <c r="Z309" t="s">
        <v>49</v>
      </c>
      <c r="AA309" t="s">
        <v>89</v>
      </c>
      <c r="AB309" s="4">
        <v>45698</v>
      </c>
      <c r="AC309" t="s">
        <v>1652</v>
      </c>
      <c r="AD309" t="s">
        <v>1653</v>
      </c>
      <c r="AE309" t="s">
        <v>52</v>
      </c>
    </row>
    <row r="310" spans="1:31" x14ac:dyDescent="0.3">
      <c r="A310" t="s">
        <v>1461</v>
      </c>
      <c r="B310" s="4">
        <v>45647</v>
      </c>
      <c r="C310" t="s">
        <v>1646</v>
      </c>
      <c r="D310" t="s">
        <v>1462</v>
      </c>
      <c r="E310" t="s">
        <v>40</v>
      </c>
      <c r="F310" t="s">
        <v>1463</v>
      </c>
      <c r="G310" t="s">
        <v>79</v>
      </c>
      <c r="H310" t="s">
        <v>1464</v>
      </c>
      <c r="I310">
        <v>899</v>
      </c>
      <c r="J310">
        <v>1</v>
      </c>
      <c r="K310" t="s">
        <v>1647</v>
      </c>
      <c r="L310">
        <v>899</v>
      </c>
      <c r="M310">
        <v>899</v>
      </c>
      <c r="O310">
        <v>0</v>
      </c>
      <c r="P310">
        <v>0</v>
      </c>
      <c r="Q310" t="s">
        <v>128</v>
      </c>
      <c r="R310" t="s">
        <v>71</v>
      </c>
      <c r="S310" t="s">
        <v>86</v>
      </c>
      <c r="T310" t="s">
        <v>87</v>
      </c>
      <c r="U310" t="s">
        <v>61</v>
      </c>
      <c r="V310" s="4">
        <v>45669</v>
      </c>
      <c r="W310" t="s">
        <v>1648</v>
      </c>
      <c r="X310" t="s">
        <v>1650</v>
      </c>
      <c r="Y310" t="s">
        <v>35</v>
      </c>
      <c r="Z310" t="s">
        <v>49</v>
      </c>
      <c r="AA310" t="s">
        <v>75</v>
      </c>
      <c r="AB310" s="4">
        <v>45696</v>
      </c>
      <c r="AC310" t="s">
        <v>1652</v>
      </c>
      <c r="AD310" t="s">
        <v>1653</v>
      </c>
      <c r="AE310" t="s">
        <v>52</v>
      </c>
    </row>
    <row r="311" spans="1:31" x14ac:dyDescent="0.3">
      <c r="A311" t="s">
        <v>1465</v>
      </c>
      <c r="B311" s="4">
        <v>45648</v>
      </c>
      <c r="C311" t="s">
        <v>1646</v>
      </c>
      <c r="D311" t="s">
        <v>1466</v>
      </c>
      <c r="E311" t="s">
        <v>26</v>
      </c>
      <c r="F311" t="s">
        <v>1467</v>
      </c>
      <c r="G311" t="s">
        <v>28</v>
      </c>
      <c r="H311" t="s">
        <v>1468</v>
      </c>
      <c r="I311">
        <v>1999</v>
      </c>
      <c r="J311">
        <v>1</v>
      </c>
      <c r="K311" t="s">
        <v>1647</v>
      </c>
      <c r="L311">
        <v>1999</v>
      </c>
      <c r="M311">
        <v>1599.2</v>
      </c>
      <c r="N311" t="s">
        <v>1101</v>
      </c>
      <c r="O311">
        <v>20</v>
      </c>
      <c r="P311">
        <v>399.8</v>
      </c>
      <c r="Q311" t="s">
        <v>70</v>
      </c>
      <c r="R311" t="s">
        <v>31</v>
      </c>
      <c r="S311" t="s">
        <v>95</v>
      </c>
      <c r="T311" t="s">
        <v>33</v>
      </c>
      <c r="U311" t="s">
        <v>32</v>
      </c>
      <c r="V311" s="4">
        <v>45670</v>
      </c>
      <c r="W311" t="s">
        <v>1648</v>
      </c>
      <c r="X311" t="s">
        <v>1650</v>
      </c>
      <c r="Y311" t="s">
        <v>35</v>
      </c>
      <c r="Z311" t="s">
        <v>36</v>
      </c>
      <c r="AB311" s="4"/>
      <c r="AC311" t="s">
        <v>1649</v>
      </c>
      <c r="AD311" t="s">
        <v>1651</v>
      </c>
      <c r="AE311" t="s">
        <v>37</v>
      </c>
    </row>
    <row r="312" spans="1:31" x14ac:dyDescent="0.3">
      <c r="A312" t="s">
        <v>1469</v>
      </c>
      <c r="B312" s="4">
        <v>45648</v>
      </c>
      <c r="C312" t="s">
        <v>1646</v>
      </c>
      <c r="D312" t="s">
        <v>1470</v>
      </c>
      <c r="E312" t="s">
        <v>26</v>
      </c>
      <c r="F312" t="s">
        <v>1471</v>
      </c>
      <c r="G312" t="s">
        <v>42</v>
      </c>
      <c r="H312" t="s">
        <v>1472</v>
      </c>
      <c r="I312">
        <v>4699</v>
      </c>
      <c r="J312">
        <v>1</v>
      </c>
      <c r="K312" t="s">
        <v>1647</v>
      </c>
      <c r="L312">
        <v>4699</v>
      </c>
      <c r="M312">
        <v>4699</v>
      </c>
      <c r="O312">
        <v>0</v>
      </c>
      <c r="P312">
        <v>0</v>
      </c>
      <c r="Q312" t="s">
        <v>45</v>
      </c>
      <c r="R312" t="s">
        <v>46</v>
      </c>
      <c r="S312" t="s">
        <v>108</v>
      </c>
      <c r="T312" t="s">
        <v>109</v>
      </c>
      <c r="U312" t="s">
        <v>32</v>
      </c>
      <c r="V312" s="4">
        <v>45671</v>
      </c>
      <c r="W312" t="s">
        <v>1648</v>
      </c>
      <c r="X312" t="s">
        <v>1650</v>
      </c>
      <c r="Y312" t="s">
        <v>35</v>
      </c>
      <c r="Z312" t="s">
        <v>49</v>
      </c>
      <c r="AA312" t="s">
        <v>50</v>
      </c>
      <c r="AB312" s="4">
        <v>45699</v>
      </c>
      <c r="AC312" t="s">
        <v>1652</v>
      </c>
      <c r="AD312" t="s">
        <v>1653</v>
      </c>
      <c r="AE312" t="s">
        <v>52</v>
      </c>
    </row>
    <row r="313" spans="1:31" x14ac:dyDescent="0.3">
      <c r="A313" t="s">
        <v>1474</v>
      </c>
      <c r="B313" s="4">
        <v>45648</v>
      </c>
      <c r="C313" t="s">
        <v>1646</v>
      </c>
      <c r="D313" t="s">
        <v>1475</v>
      </c>
      <c r="E313" t="s">
        <v>26</v>
      </c>
      <c r="F313" t="s">
        <v>1476</v>
      </c>
      <c r="G313" t="s">
        <v>58</v>
      </c>
      <c r="H313" t="s">
        <v>1477</v>
      </c>
      <c r="I313">
        <v>2299</v>
      </c>
      <c r="J313">
        <v>1</v>
      </c>
      <c r="K313" t="s">
        <v>1647</v>
      </c>
      <c r="L313">
        <v>2299</v>
      </c>
      <c r="M313">
        <v>2299</v>
      </c>
      <c r="O313">
        <v>0</v>
      </c>
      <c r="P313">
        <v>0</v>
      </c>
      <c r="Q313" t="s">
        <v>30</v>
      </c>
      <c r="R313" t="s">
        <v>71</v>
      </c>
      <c r="S313" t="s">
        <v>116</v>
      </c>
      <c r="T313" t="s">
        <v>117</v>
      </c>
      <c r="U313" t="s">
        <v>47</v>
      </c>
      <c r="V313" s="4">
        <v>45671</v>
      </c>
      <c r="W313" t="s">
        <v>1648</v>
      </c>
      <c r="X313" t="s">
        <v>1650</v>
      </c>
      <c r="Y313" t="s">
        <v>35</v>
      </c>
      <c r="Z313" t="s">
        <v>36</v>
      </c>
      <c r="AB313" s="4"/>
      <c r="AC313" t="s">
        <v>1649</v>
      </c>
      <c r="AD313" t="s">
        <v>1651</v>
      </c>
      <c r="AE313" t="s">
        <v>37</v>
      </c>
    </row>
    <row r="314" spans="1:31" x14ac:dyDescent="0.3">
      <c r="A314" t="s">
        <v>1478</v>
      </c>
      <c r="B314" s="4">
        <v>45648</v>
      </c>
      <c r="C314" t="s">
        <v>1646</v>
      </c>
      <c r="D314" t="s">
        <v>1479</v>
      </c>
      <c r="E314" t="s">
        <v>26</v>
      </c>
      <c r="F314" t="s">
        <v>1480</v>
      </c>
      <c r="G314" t="s">
        <v>67</v>
      </c>
      <c r="H314" t="s">
        <v>1481</v>
      </c>
      <c r="I314">
        <v>5399</v>
      </c>
      <c r="J314">
        <v>1</v>
      </c>
      <c r="K314" t="s">
        <v>1647</v>
      </c>
      <c r="L314">
        <v>5399</v>
      </c>
      <c r="M314">
        <v>4319.2</v>
      </c>
      <c r="N314" t="s">
        <v>1101</v>
      </c>
      <c r="O314">
        <v>20</v>
      </c>
      <c r="P314">
        <v>1079.8</v>
      </c>
      <c r="Q314" t="s">
        <v>60</v>
      </c>
      <c r="R314" t="s">
        <v>31</v>
      </c>
      <c r="S314" t="s">
        <v>129</v>
      </c>
      <c r="T314" t="s">
        <v>130</v>
      </c>
      <c r="U314" t="s">
        <v>47</v>
      </c>
      <c r="V314" s="4">
        <v>45672</v>
      </c>
      <c r="W314" t="s">
        <v>1648</v>
      </c>
      <c r="X314" t="s">
        <v>1650</v>
      </c>
      <c r="Y314" t="s">
        <v>35</v>
      </c>
      <c r="Z314" t="s">
        <v>49</v>
      </c>
      <c r="AA314" t="s">
        <v>119</v>
      </c>
      <c r="AB314" s="4">
        <v>45700</v>
      </c>
      <c r="AC314" t="s">
        <v>1652</v>
      </c>
      <c r="AD314" t="s">
        <v>1653</v>
      </c>
      <c r="AE314" t="s">
        <v>52</v>
      </c>
    </row>
    <row r="315" spans="1:31" x14ac:dyDescent="0.3">
      <c r="A315" t="s">
        <v>1483</v>
      </c>
      <c r="B315" s="4">
        <v>45649</v>
      </c>
      <c r="C315" t="s">
        <v>1646</v>
      </c>
      <c r="D315" t="s">
        <v>1484</v>
      </c>
      <c r="E315" t="s">
        <v>40</v>
      </c>
      <c r="F315" t="s">
        <v>1485</v>
      </c>
      <c r="G315" t="s">
        <v>79</v>
      </c>
      <c r="H315" t="s">
        <v>1486</v>
      </c>
      <c r="I315">
        <v>1199</v>
      </c>
      <c r="J315">
        <v>1</v>
      </c>
      <c r="K315" t="s">
        <v>1647</v>
      </c>
      <c r="L315">
        <v>1199</v>
      </c>
      <c r="M315">
        <v>1199</v>
      </c>
      <c r="O315">
        <v>0</v>
      </c>
      <c r="P315">
        <v>0</v>
      </c>
      <c r="Q315" t="s">
        <v>128</v>
      </c>
      <c r="R315" t="s">
        <v>46</v>
      </c>
      <c r="S315" t="s">
        <v>61</v>
      </c>
      <c r="T315" t="s">
        <v>62</v>
      </c>
      <c r="U315" t="s">
        <v>61</v>
      </c>
      <c r="V315" s="4">
        <v>45671</v>
      </c>
      <c r="W315" t="s">
        <v>1648</v>
      </c>
      <c r="X315" t="s">
        <v>1650</v>
      </c>
      <c r="Y315" t="s">
        <v>35</v>
      </c>
      <c r="Z315" t="s">
        <v>36</v>
      </c>
      <c r="AB315" s="4"/>
      <c r="AC315" t="s">
        <v>1649</v>
      </c>
      <c r="AD315" t="s">
        <v>1651</v>
      </c>
      <c r="AE315" t="s">
        <v>37</v>
      </c>
    </row>
    <row r="316" spans="1:31" x14ac:dyDescent="0.3">
      <c r="A316" t="s">
        <v>1487</v>
      </c>
      <c r="B316" s="4">
        <v>45649</v>
      </c>
      <c r="C316" t="s">
        <v>1646</v>
      </c>
      <c r="D316" t="s">
        <v>1488</v>
      </c>
      <c r="E316" t="s">
        <v>26</v>
      </c>
      <c r="F316" t="s">
        <v>1489</v>
      </c>
      <c r="G316" t="s">
        <v>28</v>
      </c>
      <c r="H316" t="s">
        <v>1490</v>
      </c>
      <c r="I316">
        <v>2199</v>
      </c>
      <c r="J316">
        <v>1</v>
      </c>
      <c r="K316" t="s">
        <v>1647</v>
      </c>
      <c r="L316">
        <v>2199</v>
      </c>
      <c r="M316">
        <v>2199</v>
      </c>
      <c r="O316">
        <v>0</v>
      </c>
      <c r="P316">
        <v>0</v>
      </c>
      <c r="Q316" t="s">
        <v>70</v>
      </c>
      <c r="R316" t="s">
        <v>71</v>
      </c>
      <c r="S316" t="s">
        <v>32</v>
      </c>
      <c r="T316" t="s">
        <v>33</v>
      </c>
      <c r="U316" t="s">
        <v>32</v>
      </c>
      <c r="V316" s="4">
        <v>45672</v>
      </c>
      <c r="W316" t="s">
        <v>1648</v>
      </c>
      <c r="X316" t="s">
        <v>1650</v>
      </c>
      <c r="Y316" t="s">
        <v>35</v>
      </c>
      <c r="Z316" t="s">
        <v>49</v>
      </c>
      <c r="AA316" t="s">
        <v>158</v>
      </c>
      <c r="AB316" s="4">
        <v>45699</v>
      </c>
      <c r="AC316" t="s">
        <v>1652</v>
      </c>
      <c r="AD316" t="s">
        <v>1653</v>
      </c>
      <c r="AE316" t="s">
        <v>52</v>
      </c>
    </row>
    <row r="317" spans="1:31" x14ac:dyDescent="0.3">
      <c r="A317" t="s">
        <v>1491</v>
      </c>
      <c r="B317" s="4">
        <v>45649</v>
      </c>
      <c r="C317" t="s">
        <v>1646</v>
      </c>
      <c r="D317" t="s">
        <v>1492</v>
      </c>
      <c r="E317" t="s">
        <v>26</v>
      </c>
      <c r="F317" t="s">
        <v>1493</v>
      </c>
      <c r="G317" t="s">
        <v>42</v>
      </c>
      <c r="H317" t="s">
        <v>1494</v>
      </c>
      <c r="I317">
        <v>3799</v>
      </c>
      <c r="J317">
        <v>1</v>
      </c>
      <c r="K317" t="s">
        <v>1647</v>
      </c>
      <c r="L317">
        <v>3799</v>
      </c>
      <c r="M317">
        <v>3039.2</v>
      </c>
      <c r="N317" t="s">
        <v>1101</v>
      </c>
      <c r="O317">
        <v>20</v>
      </c>
      <c r="P317">
        <v>759.8</v>
      </c>
      <c r="Q317" t="s">
        <v>45</v>
      </c>
      <c r="R317" t="s">
        <v>31</v>
      </c>
      <c r="S317" t="s">
        <v>47</v>
      </c>
      <c r="T317" t="s">
        <v>47</v>
      </c>
      <c r="U317" t="s">
        <v>47</v>
      </c>
      <c r="V317" s="4">
        <v>45673</v>
      </c>
      <c r="W317" t="s">
        <v>1648</v>
      </c>
      <c r="X317" t="s">
        <v>1650</v>
      </c>
      <c r="Y317" t="s">
        <v>35</v>
      </c>
      <c r="Z317" t="s">
        <v>49</v>
      </c>
      <c r="AA317" t="s">
        <v>50</v>
      </c>
      <c r="AB317" s="4">
        <v>45701</v>
      </c>
      <c r="AC317" t="s">
        <v>1652</v>
      </c>
      <c r="AD317" t="s">
        <v>1653</v>
      </c>
      <c r="AE317" t="s">
        <v>52</v>
      </c>
    </row>
    <row r="318" spans="1:31" x14ac:dyDescent="0.3">
      <c r="A318" t="s">
        <v>1496</v>
      </c>
      <c r="B318" s="4">
        <v>45649</v>
      </c>
      <c r="C318" t="s">
        <v>1646</v>
      </c>
      <c r="D318" t="s">
        <v>1497</v>
      </c>
      <c r="E318" t="s">
        <v>26</v>
      </c>
      <c r="F318" t="s">
        <v>1498</v>
      </c>
      <c r="G318" t="s">
        <v>58</v>
      </c>
      <c r="H318" t="s">
        <v>1499</v>
      </c>
      <c r="I318">
        <v>2499</v>
      </c>
      <c r="J318">
        <v>1</v>
      </c>
      <c r="K318" t="s">
        <v>1647</v>
      </c>
      <c r="L318">
        <v>2499</v>
      </c>
      <c r="M318">
        <v>2499</v>
      </c>
      <c r="O318">
        <v>0</v>
      </c>
      <c r="P318">
        <v>0</v>
      </c>
      <c r="Q318" t="s">
        <v>30</v>
      </c>
      <c r="R318" t="s">
        <v>46</v>
      </c>
      <c r="S318" t="s">
        <v>135</v>
      </c>
      <c r="T318" t="s">
        <v>136</v>
      </c>
      <c r="U318" t="s">
        <v>47</v>
      </c>
      <c r="V318" s="4">
        <v>45673</v>
      </c>
      <c r="W318" t="s">
        <v>1648</v>
      </c>
      <c r="X318" t="s">
        <v>1650</v>
      </c>
      <c r="Y318" t="s">
        <v>35</v>
      </c>
      <c r="Z318" t="s">
        <v>36</v>
      </c>
      <c r="AB318" s="4"/>
      <c r="AC318" t="s">
        <v>1649</v>
      </c>
      <c r="AD318" t="s">
        <v>1651</v>
      </c>
      <c r="AE318" t="s">
        <v>37</v>
      </c>
    </row>
    <row r="319" spans="1:31" x14ac:dyDescent="0.3">
      <c r="A319" t="s">
        <v>1500</v>
      </c>
      <c r="B319" s="4">
        <v>45650</v>
      </c>
      <c r="C319" t="s">
        <v>1646</v>
      </c>
      <c r="D319" t="s">
        <v>1501</v>
      </c>
      <c r="E319" t="s">
        <v>26</v>
      </c>
      <c r="F319" t="s">
        <v>1502</v>
      </c>
      <c r="G319" t="s">
        <v>67</v>
      </c>
      <c r="H319" t="s">
        <v>1503</v>
      </c>
      <c r="I319">
        <v>6499</v>
      </c>
      <c r="J319">
        <v>1</v>
      </c>
      <c r="K319" t="s">
        <v>1647</v>
      </c>
      <c r="L319">
        <v>6499</v>
      </c>
      <c r="M319">
        <v>6499</v>
      </c>
      <c r="O319">
        <v>0</v>
      </c>
      <c r="P319">
        <v>0</v>
      </c>
      <c r="Q319" t="s">
        <v>60</v>
      </c>
      <c r="R319" t="s">
        <v>71</v>
      </c>
      <c r="S319" t="s">
        <v>156</v>
      </c>
      <c r="T319" t="s">
        <v>130</v>
      </c>
      <c r="U319" t="s">
        <v>47</v>
      </c>
      <c r="V319" s="4">
        <v>45674</v>
      </c>
      <c r="W319" t="s">
        <v>1648</v>
      </c>
      <c r="X319" t="s">
        <v>1650</v>
      </c>
      <c r="Y319" t="s">
        <v>35</v>
      </c>
      <c r="Z319" t="s">
        <v>49</v>
      </c>
      <c r="AA319" t="s">
        <v>89</v>
      </c>
      <c r="AB319" s="4">
        <v>45702</v>
      </c>
      <c r="AC319" t="s">
        <v>1652</v>
      </c>
      <c r="AD319" t="s">
        <v>1653</v>
      </c>
      <c r="AE319" t="s">
        <v>52</v>
      </c>
    </row>
    <row r="320" spans="1:31" x14ac:dyDescent="0.3">
      <c r="A320" t="s">
        <v>1506</v>
      </c>
      <c r="B320" s="4">
        <v>45650</v>
      </c>
      <c r="C320" t="s">
        <v>1646</v>
      </c>
      <c r="D320" t="s">
        <v>1507</v>
      </c>
      <c r="E320" t="s">
        <v>40</v>
      </c>
      <c r="F320" t="s">
        <v>1508</v>
      </c>
      <c r="G320" t="s">
        <v>79</v>
      </c>
      <c r="H320" t="s">
        <v>1509</v>
      </c>
      <c r="I320">
        <v>499</v>
      </c>
      <c r="J320">
        <v>3</v>
      </c>
      <c r="K320" t="s">
        <v>1647</v>
      </c>
      <c r="L320">
        <v>1497</v>
      </c>
      <c r="M320">
        <v>1197.5999999999999</v>
      </c>
      <c r="N320" t="s">
        <v>1101</v>
      </c>
      <c r="O320">
        <v>20</v>
      </c>
      <c r="P320">
        <v>299.39999999999998</v>
      </c>
      <c r="Q320" t="s">
        <v>128</v>
      </c>
      <c r="R320" t="s">
        <v>31</v>
      </c>
      <c r="S320" t="s">
        <v>164</v>
      </c>
      <c r="T320" t="s">
        <v>165</v>
      </c>
      <c r="U320" t="s">
        <v>47</v>
      </c>
      <c r="V320" s="4">
        <v>45673</v>
      </c>
      <c r="W320" t="s">
        <v>1648</v>
      </c>
      <c r="X320" t="s">
        <v>1650</v>
      </c>
      <c r="Y320" t="s">
        <v>35</v>
      </c>
      <c r="Z320" t="s">
        <v>36</v>
      </c>
      <c r="AB320" s="4"/>
      <c r="AC320" t="s">
        <v>1649</v>
      </c>
      <c r="AD320" t="s">
        <v>1651</v>
      </c>
      <c r="AE320" t="s">
        <v>37</v>
      </c>
    </row>
    <row r="321" spans="1:31" x14ac:dyDescent="0.3">
      <c r="A321" t="s">
        <v>1510</v>
      </c>
      <c r="B321" s="4">
        <v>45650</v>
      </c>
      <c r="C321" t="s">
        <v>1646</v>
      </c>
      <c r="D321" t="s">
        <v>1511</v>
      </c>
      <c r="E321" t="s">
        <v>26</v>
      </c>
      <c r="F321" t="s">
        <v>1512</v>
      </c>
      <c r="G321" t="s">
        <v>28</v>
      </c>
      <c r="H321" t="s">
        <v>1513</v>
      </c>
      <c r="I321">
        <v>1799</v>
      </c>
      <c r="J321">
        <v>1</v>
      </c>
      <c r="K321" t="s">
        <v>1647</v>
      </c>
      <c r="L321">
        <v>1799</v>
      </c>
      <c r="M321">
        <v>1799</v>
      </c>
      <c r="O321">
        <v>0</v>
      </c>
      <c r="P321">
        <v>0</v>
      </c>
      <c r="Q321" t="s">
        <v>70</v>
      </c>
      <c r="R321" t="s">
        <v>46</v>
      </c>
      <c r="S321" t="s">
        <v>171</v>
      </c>
      <c r="T321" t="s">
        <v>172</v>
      </c>
      <c r="U321" t="s">
        <v>32</v>
      </c>
      <c r="V321" s="4">
        <v>45674</v>
      </c>
      <c r="W321" t="s">
        <v>1648</v>
      </c>
      <c r="X321" t="s">
        <v>1650</v>
      </c>
      <c r="Y321" t="s">
        <v>35</v>
      </c>
      <c r="Z321" t="s">
        <v>49</v>
      </c>
      <c r="AA321" t="s">
        <v>75</v>
      </c>
      <c r="AB321" s="4">
        <v>45701</v>
      </c>
      <c r="AC321" t="s">
        <v>1652</v>
      </c>
      <c r="AD321" t="s">
        <v>1653</v>
      </c>
      <c r="AE321" t="s">
        <v>52</v>
      </c>
    </row>
    <row r="322" spans="1:31" x14ac:dyDescent="0.3">
      <c r="A322" t="s">
        <v>1514</v>
      </c>
      <c r="B322" s="4">
        <v>45650</v>
      </c>
      <c r="C322" t="s">
        <v>1646</v>
      </c>
      <c r="D322" t="s">
        <v>1515</v>
      </c>
      <c r="E322" t="s">
        <v>26</v>
      </c>
      <c r="F322" t="s">
        <v>1516</v>
      </c>
      <c r="G322" t="s">
        <v>42</v>
      </c>
      <c r="H322" t="s">
        <v>1517</v>
      </c>
      <c r="I322">
        <v>4299</v>
      </c>
      <c r="J322">
        <v>1</v>
      </c>
      <c r="K322" t="s">
        <v>1647</v>
      </c>
      <c r="L322">
        <v>4299</v>
      </c>
      <c r="M322">
        <v>4299</v>
      </c>
      <c r="O322">
        <v>0</v>
      </c>
      <c r="P322">
        <v>0</v>
      </c>
      <c r="Q322" t="s">
        <v>45</v>
      </c>
      <c r="R322" t="s">
        <v>71</v>
      </c>
      <c r="S322" t="s">
        <v>177</v>
      </c>
      <c r="T322" t="s">
        <v>109</v>
      </c>
      <c r="U322" t="s">
        <v>32</v>
      </c>
      <c r="V322" s="4">
        <v>45675</v>
      </c>
      <c r="W322" t="s">
        <v>1648</v>
      </c>
      <c r="X322" t="s">
        <v>1650</v>
      </c>
      <c r="Y322" t="s">
        <v>35</v>
      </c>
      <c r="Z322" t="s">
        <v>49</v>
      </c>
      <c r="AA322" t="s">
        <v>50</v>
      </c>
      <c r="AB322" s="4">
        <v>45703</v>
      </c>
      <c r="AC322" t="s">
        <v>1652</v>
      </c>
      <c r="AD322" t="s">
        <v>1653</v>
      </c>
      <c r="AE322" t="s">
        <v>52</v>
      </c>
    </row>
    <row r="323" spans="1:31" x14ac:dyDescent="0.3">
      <c r="A323" t="s">
        <v>1519</v>
      </c>
      <c r="B323" s="4">
        <v>45651</v>
      </c>
      <c r="C323" t="s">
        <v>1646</v>
      </c>
      <c r="D323" t="s">
        <v>1520</v>
      </c>
      <c r="E323" t="s">
        <v>26</v>
      </c>
      <c r="F323" t="s">
        <v>1521</v>
      </c>
      <c r="G323" t="s">
        <v>58</v>
      </c>
      <c r="H323" t="s">
        <v>1522</v>
      </c>
      <c r="I323">
        <v>1899</v>
      </c>
      <c r="J323">
        <v>1</v>
      </c>
      <c r="K323" t="s">
        <v>1647</v>
      </c>
      <c r="L323">
        <v>1899</v>
      </c>
      <c r="M323">
        <v>1519.2</v>
      </c>
      <c r="N323" t="s">
        <v>1101</v>
      </c>
      <c r="O323">
        <v>20</v>
      </c>
      <c r="P323">
        <v>379.8</v>
      </c>
      <c r="Q323" t="s">
        <v>30</v>
      </c>
      <c r="R323" t="s">
        <v>31</v>
      </c>
      <c r="S323" t="s">
        <v>184</v>
      </c>
      <c r="T323" t="s">
        <v>185</v>
      </c>
      <c r="U323" t="s">
        <v>47</v>
      </c>
      <c r="V323" s="4">
        <v>45675</v>
      </c>
      <c r="W323" t="s">
        <v>1648</v>
      </c>
      <c r="X323" t="s">
        <v>1650</v>
      </c>
      <c r="Y323" t="s">
        <v>35</v>
      </c>
      <c r="Z323" t="s">
        <v>36</v>
      </c>
      <c r="AB323" s="4"/>
      <c r="AC323" t="s">
        <v>1649</v>
      </c>
      <c r="AD323" t="s">
        <v>1651</v>
      </c>
      <c r="AE323" t="s">
        <v>37</v>
      </c>
    </row>
    <row r="324" spans="1:31" x14ac:dyDescent="0.3">
      <c r="A324" t="s">
        <v>1523</v>
      </c>
      <c r="B324" s="4">
        <v>45651</v>
      </c>
      <c r="C324" t="s">
        <v>1646</v>
      </c>
      <c r="D324" t="s">
        <v>1524</v>
      </c>
      <c r="E324" t="s">
        <v>26</v>
      </c>
      <c r="F324" t="s">
        <v>1525</v>
      </c>
      <c r="G324" t="s">
        <v>67</v>
      </c>
      <c r="H324" t="s">
        <v>1526</v>
      </c>
      <c r="I324">
        <v>4999</v>
      </c>
      <c r="J324">
        <v>1</v>
      </c>
      <c r="K324" t="s">
        <v>1647</v>
      </c>
      <c r="L324">
        <v>4999</v>
      </c>
      <c r="M324">
        <v>4999</v>
      </c>
      <c r="O324">
        <v>0</v>
      </c>
      <c r="P324">
        <v>0</v>
      </c>
      <c r="Q324" t="s">
        <v>60</v>
      </c>
      <c r="R324" t="s">
        <v>46</v>
      </c>
      <c r="S324" t="s">
        <v>190</v>
      </c>
      <c r="T324" t="s">
        <v>172</v>
      </c>
      <c r="U324" t="s">
        <v>32</v>
      </c>
      <c r="V324" s="4">
        <v>45676</v>
      </c>
      <c r="W324" t="s">
        <v>1648</v>
      </c>
      <c r="X324" t="s">
        <v>1650</v>
      </c>
      <c r="Y324" t="s">
        <v>35</v>
      </c>
      <c r="Z324" t="s">
        <v>49</v>
      </c>
      <c r="AA324" t="s">
        <v>119</v>
      </c>
      <c r="AB324" s="4">
        <v>45704</v>
      </c>
      <c r="AC324" t="s">
        <v>1652</v>
      </c>
      <c r="AD324" t="s">
        <v>1653</v>
      </c>
      <c r="AE324" t="s">
        <v>52</v>
      </c>
    </row>
    <row r="325" spans="1:31" x14ac:dyDescent="0.3">
      <c r="A325" t="s">
        <v>1528</v>
      </c>
      <c r="B325" s="4">
        <v>45651</v>
      </c>
      <c r="C325" t="s">
        <v>1646</v>
      </c>
      <c r="D325" t="s">
        <v>1529</v>
      </c>
      <c r="E325" t="s">
        <v>40</v>
      </c>
      <c r="F325" t="s">
        <v>1530</v>
      </c>
      <c r="G325" t="s">
        <v>79</v>
      </c>
      <c r="H325" t="s">
        <v>1531</v>
      </c>
      <c r="I325">
        <v>1399</v>
      </c>
      <c r="J325">
        <v>1</v>
      </c>
      <c r="K325" t="s">
        <v>1647</v>
      </c>
      <c r="L325">
        <v>1399</v>
      </c>
      <c r="M325">
        <v>1399</v>
      </c>
      <c r="O325">
        <v>0</v>
      </c>
      <c r="P325">
        <v>0</v>
      </c>
      <c r="Q325" t="s">
        <v>128</v>
      </c>
      <c r="R325" t="s">
        <v>71</v>
      </c>
      <c r="S325" t="s">
        <v>195</v>
      </c>
      <c r="T325" t="s">
        <v>33</v>
      </c>
      <c r="U325" t="s">
        <v>32</v>
      </c>
      <c r="V325" s="4">
        <v>45675</v>
      </c>
      <c r="W325" t="s">
        <v>1648</v>
      </c>
      <c r="X325" t="s">
        <v>1650</v>
      </c>
      <c r="Y325" t="s">
        <v>35</v>
      </c>
      <c r="Z325" t="s">
        <v>36</v>
      </c>
      <c r="AB325" s="4"/>
      <c r="AC325" t="s">
        <v>1649</v>
      </c>
      <c r="AD325" t="s">
        <v>1651</v>
      </c>
      <c r="AE325" t="s">
        <v>37</v>
      </c>
    </row>
    <row r="326" spans="1:31" x14ac:dyDescent="0.3">
      <c r="A326" t="s">
        <v>1532</v>
      </c>
      <c r="B326" s="4">
        <v>45651</v>
      </c>
      <c r="C326" t="s">
        <v>1646</v>
      </c>
      <c r="D326" t="s">
        <v>1533</v>
      </c>
      <c r="E326" t="s">
        <v>26</v>
      </c>
      <c r="F326" t="s">
        <v>1534</v>
      </c>
      <c r="G326" t="s">
        <v>28</v>
      </c>
      <c r="H326" t="s">
        <v>1535</v>
      </c>
      <c r="I326">
        <v>2099</v>
      </c>
      <c r="J326">
        <v>1</v>
      </c>
      <c r="K326" t="s">
        <v>1647</v>
      </c>
      <c r="L326">
        <v>2099</v>
      </c>
      <c r="M326">
        <v>1679.2</v>
      </c>
      <c r="N326" t="s">
        <v>1101</v>
      </c>
      <c r="O326">
        <v>20</v>
      </c>
      <c r="P326">
        <v>419.8</v>
      </c>
      <c r="Q326" t="s">
        <v>70</v>
      </c>
      <c r="R326" t="s">
        <v>31</v>
      </c>
      <c r="S326" t="s">
        <v>202</v>
      </c>
      <c r="T326" t="s">
        <v>73</v>
      </c>
      <c r="U326" t="s">
        <v>61</v>
      </c>
      <c r="V326" s="4">
        <v>45676</v>
      </c>
      <c r="W326" t="s">
        <v>1648</v>
      </c>
      <c r="X326" t="s">
        <v>1650</v>
      </c>
      <c r="Y326" t="s">
        <v>35</v>
      </c>
      <c r="Z326" t="s">
        <v>49</v>
      </c>
      <c r="AA326" t="s">
        <v>158</v>
      </c>
      <c r="AB326" s="4">
        <v>45703</v>
      </c>
      <c r="AC326" t="s">
        <v>1652</v>
      </c>
      <c r="AD326" t="s">
        <v>1653</v>
      </c>
      <c r="AE326" t="s">
        <v>52</v>
      </c>
    </row>
    <row r="327" spans="1:31" x14ac:dyDescent="0.3">
      <c r="A327" t="s">
        <v>1536</v>
      </c>
      <c r="B327" s="4">
        <v>45652</v>
      </c>
      <c r="C327" t="s">
        <v>1646</v>
      </c>
      <c r="D327" t="s">
        <v>1537</v>
      </c>
      <c r="E327" t="s">
        <v>26</v>
      </c>
      <c r="F327" t="s">
        <v>1538</v>
      </c>
      <c r="G327" t="s">
        <v>42</v>
      </c>
      <c r="H327" t="s">
        <v>1539</v>
      </c>
      <c r="I327">
        <v>2999</v>
      </c>
      <c r="J327">
        <v>1</v>
      </c>
      <c r="K327" t="s">
        <v>1647</v>
      </c>
      <c r="L327">
        <v>2999</v>
      </c>
      <c r="M327">
        <v>2999</v>
      </c>
      <c r="O327">
        <v>0</v>
      </c>
      <c r="P327">
        <v>0</v>
      </c>
      <c r="Q327" t="s">
        <v>45</v>
      </c>
      <c r="R327" t="s">
        <v>46</v>
      </c>
      <c r="S327" t="s">
        <v>208</v>
      </c>
      <c r="T327" t="s">
        <v>209</v>
      </c>
      <c r="U327" t="s">
        <v>61</v>
      </c>
      <c r="V327" s="4">
        <v>45677</v>
      </c>
      <c r="W327" t="s">
        <v>1648</v>
      </c>
      <c r="X327" t="s">
        <v>1650</v>
      </c>
      <c r="Y327" t="s">
        <v>35</v>
      </c>
      <c r="Z327" t="s">
        <v>49</v>
      </c>
      <c r="AA327" t="s">
        <v>50</v>
      </c>
      <c r="AB327" s="4">
        <v>45705</v>
      </c>
      <c r="AC327" t="s">
        <v>1652</v>
      </c>
      <c r="AD327" t="s">
        <v>1653</v>
      </c>
      <c r="AE327" t="s">
        <v>52</v>
      </c>
    </row>
    <row r="328" spans="1:31" x14ac:dyDescent="0.3">
      <c r="A328" t="s">
        <v>1541</v>
      </c>
      <c r="B328" s="4">
        <v>45652</v>
      </c>
      <c r="C328" t="s">
        <v>1646</v>
      </c>
      <c r="D328" t="s">
        <v>1542</v>
      </c>
      <c r="E328" t="s">
        <v>26</v>
      </c>
      <c r="F328" t="s">
        <v>1543</v>
      </c>
      <c r="G328" t="s">
        <v>58</v>
      </c>
      <c r="H328" t="s">
        <v>1544</v>
      </c>
      <c r="I328">
        <v>2199</v>
      </c>
      <c r="J328">
        <v>1</v>
      </c>
      <c r="K328" t="s">
        <v>1647</v>
      </c>
      <c r="L328">
        <v>2199</v>
      </c>
      <c r="M328">
        <v>2199</v>
      </c>
      <c r="O328">
        <v>0</v>
      </c>
      <c r="P328">
        <v>0</v>
      </c>
      <c r="Q328" t="s">
        <v>30</v>
      </c>
      <c r="R328" t="s">
        <v>71</v>
      </c>
      <c r="S328" t="s">
        <v>215</v>
      </c>
      <c r="T328" t="s">
        <v>216</v>
      </c>
      <c r="U328" t="s">
        <v>61</v>
      </c>
      <c r="V328" s="4">
        <v>45677</v>
      </c>
      <c r="W328" t="s">
        <v>1648</v>
      </c>
      <c r="X328" t="s">
        <v>1650</v>
      </c>
      <c r="Y328" t="s">
        <v>35</v>
      </c>
      <c r="Z328" t="s">
        <v>36</v>
      </c>
      <c r="AB328" s="4"/>
      <c r="AC328" t="s">
        <v>1649</v>
      </c>
      <c r="AD328" t="s">
        <v>1651</v>
      </c>
      <c r="AE328" t="s">
        <v>37</v>
      </c>
    </row>
    <row r="329" spans="1:31" x14ac:dyDescent="0.3">
      <c r="A329" t="s">
        <v>1545</v>
      </c>
      <c r="B329" s="4">
        <v>45652</v>
      </c>
      <c r="C329" t="s">
        <v>1646</v>
      </c>
      <c r="D329" t="s">
        <v>1546</v>
      </c>
      <c r="E329" t="s">
        <v>26</v>
      </c>
      <c r="F329" t="s">
        <v>1547</v>
      </c>
      <c r="G329" t="s">
        <v>67</v>
      </c>
      <c r="H329" t="s">
        <v>1548</v>
      </c>
      <c r="I329">
        <v>5999</v>
      </c>
      <c r="J329">
        <v>1</v>
      </c>
      <c r="K329" t="s">
        <v>1647</v>
      </c>
      <c r="L329">
        <v>5999</v>
      </c>
      <c r="M329">
        <v>4799.2</v>
      </c>
      <c r="N329" t="s">
        <v>1101</v>
      </c>
      <c r="O329">
        <v>20</v>
      </c>
      <c r="P329">
        <v>1199.8</v>
      </c>
      <c r="Q329" t="s">
        <v>60</v>
      </c>
      <c r="R329" t="s">
        <v>31</v>
      </c>
      <c r="S329" t="s">
        <v>221</v>
      </c>
      <c r="T329" t="s">
        <v>209</v>
      </c>
      <c r="U329" t="s">
        <v>61</v>
      </c>
      <c r="V329" s="4">
        <v>45678</v>
      </c>
      <c r="W329" t="s">
        <v>1648</v>
      </c>
      <c r="X329" t="s">
        <v>1650</v>
      </c>
      <c r="Y329" t="s">
        <v>35</v>
      </c>
      <c r="Z329" t="s">
        <v>49</v>
      </c>
      <c r="AA329" t="s">
        <v>89</v>
      </c>
      <c r="AB329" s="4">
        <v>45706</v>
      </c>
      <c r="AC329" t="s">
        <v>1652</v>
      </c>
      <c r="AD329" t="s">
        <v>1653</v>
      </c>
      <c r="AE329" t="s">
        <v>52</v>
      </c>
    </row>
    <row r="330" spans="1:31" x14ac:dyDescent="0.3">
      <c r="A330" t="s">
        <v>1550</v>
      </c>
      <c r="B330" s="4">
        <v>45652</v>
      </c>
      <c r="C330" t="s">
        <v>1646</v>
      </c>
      <c r="D330" t="s">
        <v>1551</v>
      </c>
      <c r="E330" t="s">
        <v>40</v>
      </c>
      <c r="F330" t="s">
        <v>1552</v>
      </c>
      <c r="G330" t="s">
        <v>79</v>
      </c>
      <c r="H330" t="s">
        <v>1553</v>
      </c>
      <c r="I330">
        <v>1299</v>
      </c>
      <c r="J330">
        <v>1</v>
      </c>
      <c r="K330" t="s">
        <v>1647</v>
      </c>
      <c r="L330">
        <v>1299</v>
      </c>
      <c r="M330">
        <v>1299</v>
      </c>
      <c r="O330">
        <v>0</v>
      </c>
      <c r="P330">
        <v>0</v>
      </c>
      <c r="Q330" t="s">
        <v>128</v>
      </c>
      <c r="R330" t="s">
        <v>46</v>
      </c>
      <c r="S330" t="s">
        <v>226</v>
      </c>
      <c r="T330" t="s">
        <v>62</v>
      </c>
      <c r="U330" t="s">
        <v>61</v>
      </c>
      <c r="V330" s="4">
        <v>45677</v>
      </c>
      <c r="W330" t="s">
        <v>1648</v>
      </c>
      <c r="X330" t="s">
        <v>1650</v>
      </c>
      <c r="Y330" t="s">
        <v>35</v>
      </c>
      <c r="Z330" t="s">
        <v>49</v>
      </c>
      <c r="AA330" t="s">
        <v>75</v>
      </c>
      <c r="AB330" s="4">
        <v>45704</v>
      </c>
      <c r="AC330" t="s">
        <v>1652</v>
      </c>
      <c r="AD330" t="s">
        <v>1653</v>
      </c>
      <c r="AE330" t="s">
        <v>52</v>
      </c>
    </row>
    <row r="331" spans="1:31" x14ac:dyDescent="0.3">
      <c r="A331" t="s">
        <v>1554</v>
      </c>
      <c r="B331" s="4">
        <v>45653</v>
      </c>
      <c r="C331" t="s">
        <v>1646</v>
      </c>
      <c r="D331" t="s">
        <v>1555</v>
      </c>
      <c r="E331" t="s">
        <v>26</v>
      </c>
      <c r="F331" t="s">
        <v>1556</v>
      </c>
      <c r="G331" t="s">
        <v>28</v>
      </c>
      <c r="H331" t="s">
        <v>1557</v>
      </c>
      <c r="I331">
        <v>999</v>
      </c>
      <c r="J331">
        <v>2</v>
      </c>
      <c r="K331" t="s">
        <v>1647</v>
      </c>
      <c r="L331">
        <v>1998</v>
      </c>
      <c r="M331">
        <v>1998</v>
      </c>
      <c r="O331">
        <v>0</v>
      </c>
      <c r="P331">
        <v>0</v>
      </c>
      <c r="Q331" t="s">
        <v>70</v>
      </c>
      <c r="R331" t="s">
        <v>71</v>
      </c>
      <c r="S331" t="s">
        <v>233</v>
      </c>
      <c r="T331" t="s">
        <v>109</v>
      </c>
      <c r="U331" t="s">
        <v>32</v>
      </c>
      <c r="V331" s="4">
        <v>45678</v>
      </c>
      <c r="W331" t="s">
        <v>1648</v>
      </c>
      <c r="X331" t="s">
        <v>1650</v>
      </c>
      <c r="Y331" t="s">
        <v>35</v>
      </c>
      <c r="Z331" t="s">
        <v>36</v>
      </c>
      <c r="AB331" s="4"/>
      <c r="AC331" t="s">
        <v>1649</v>
      </c>
      <c r="AD331" t="s">
        <v>1651</v>
      </c>
      <c r="AE331" t="s">
        <v>37</v>
      </c>
    </row>
    <row r="332" spans="1:31" x14ac:dyDescent="0.3">
      <c r="A332" t="s">
        <v>1558</v>
      </c>
      <c r="B332" s="4">
        <v>45653</v>
      </c>
      <c r="C332" t="s">
        <v>1646</v>
      </c>
      <c r="D332" t="s">
        <v>1559</v>
      </c>
      <c r="E332" t="s">
        <v>26</v>
      </c>
      <c r="F332" t="s">
        <v>1560</v>
      </c>
      <c r="G332" t="s">
        <v>42</v>
      </c>
      <c r="H332" t="s">
        <v>1561</v>
      </c>
      <c r="I332">
        <v>3499</v>
      </c>
      <c r="J332">
        <v>1</v>
      </c>
      <c r="K332" t="s">
        <v>1647</v>
      </c>
      <c r="L332">
        <v>3499</v>
      </c>
      <c r="M332">
        <v>2799.2</v>
      </c>
      <c r="N332" t="s">
        <v>1101</v>
      </c>
      <c r="O332">
        <v>20</v>
      </c>
      <c r="P332">
        <v>699.8</v>
      </c>
      <c r="Q332" t="s">
        <v>45</v>
      </c>
      <c r="R332" t="s">
        <v>31</v>
      </c>
      <c r="S332" t="s">
        <v>238</v>
      </c>
      <c r="T332" t="s">
        <v>109</v>
      </c>
      <c r="U332" t="s">
        <v>32</v>
      </c>
      <c r="V332" s="4">
        <v>45679</v>
      </c>
      <c r="W332" t="s">
        <v>1648</v>
      </c>
      <c r="X332" t="s">
        <v>1650</v>
      </c>
      <c r="Y332" t="s">
        <v>35</v>
      </c>
      <c r="Z332" t="s">
        <v>49</v>
      </c>
      <c r="AA332" t="s">
        <v>50</v>
      </c>
      <c r="AB332" s="4">
        <v>45707</v>
      </c>
      <c r="AC332" t="s">
        <v>1652</v>
      </c>
      <c r="AD332" t="s">
        <v>1653</v>
      </c>
      <c r="AE332" t="s">
        <v>52</v>
      </c>
    </row>
    <row r="333" spans="1:31" x14ac:dyDescent="0.3">
      <c r="A333" t="s">
        <v>1563</v>
      </c>
      <c r="B333" s="4">
        <v>45653</v>
      </c>
      <c r="C333" t="s">
        <v>1646</v>
      </c>
      <c r="D333" t="s">
        <v>1564</v>
      </c>
      <c r="E333" t="s">
        <v>26</v>
      </c>
      <c r="F333" t="s">
        <v>1565</v>
      </c>
      <c r="G333" t="s">
        <v>58</v>
      </c>
      <c r="H333" t="s">
        <v>1566</v>
      </c>
      <c r="I333">
        <v>1799</v>
      </c>
      <c r="J333">
        <v>1</v>
      </c>
      <c r="K333" t="s">
        <v>1647</v>
      </c>
      <c r="L333">
        <v>1799</v>
      </c>
      <c r="M333">
        <v>1799</v>
      </c>
      <c r="O333">
        <v>0</v>
      </c>
      <c r="P333">
        <v>0</v>
      </c>
      <c r="Q333" t="s">
        <v>30</v>
      </c>
      <c r="R333" t="s">
        <v>46</v>
      </c>
      <c r="S333" t="s">
        <v>243</v>
      </c>
      <c r="T333" t="s">
        <v>130</v>
      </c>
      <c r="U333" t="s">
        <v>47</v>
      </c>
      <c r="V333" s="4">
        <v>45679</v>
      </c>
      <c r="W333" t="s">
        <v>1648</v>
      </c>
      <c r="X333" t="s">
        <v>1650</v>
      </c>
      <c r="Y333" t="s">
        <v>35</v>
      </c>
      <c r="Z333" t="s">
        <v>36</v>
      </c>
      <c r="AB333" s="4"/>
      <c r="AC333" t="s">
        <v>1649</v>
      </c>
      <c r="AD333" t="s">
        <v>1651</v>
      </c>
      <c r="AE333" t="s">
        <v>37</v>
      </c>
    </row>
    <row r="334" spans="1:31" x14ac:dyDescent="0.3">
      <c r="A334" t="s">
        <v>1567</v>
      </c>
      <c r="B334" s="4">
        <v>45653</v>
      </c>
      <c r="C334" t="s">
        <v>1646</v>
      </c>
      <c r="D334" t="s">
        <v>1568</v>
      </c>
      <c r="E334" t="s">
        <v>26</v>
      </c>
      <c r="F334" t="s">
        <v>1569</v>
      </c>
      <c r="G334" t="s">
        <v>67</v>
      </c>
      <c r="H334" t="s">
        <v>1570</v>
      </c>
      <c r="I334">
        <v>4599</v>
      </c>
      <c r="J334">
        <v>1</v>
      </c>
      <c r="K334" t="s">
        <v>1647</v>
      </c>
      <c r="L334">
        <v>4599</v>
      </c>
      <c r="M334">
        <v>4599</v>
      </c>
      <c r="O334">
        <v>0</v>
      </c>
      <c r="P334">
        <v>0</v>
      </c>
      <c r="Q334" t="s">
        <v>60</v>
      </c>
      <c r="R334" t="s">
        <v>71</v>
      </c>
      <c r="S334" t="s">
        <v>32</v>
      </c>
      <c r="T334" t="s">
        <v>33</v>
      </c>
      <c r="U334" t="s">
        <v>32</v>
      </c>
      <c r="V334" s="4">
        <v>45680</v>
      </c>
      <c r="W334" t="s">
        <v>1648</v>
      </c>
      <c r="X334" t="s">
        <v>1650</v>
      </c>
      <c r="Y334" t="s">
        <v>35</v>
      </c>
      <c r="Z334" t="s">
        <v>49</v>
      </c>
      <c r="AA334" t="s">
        <v>119</v>
      </c>
      <c r="AB334" s="4">
        <v>45708</v>
      </c>
      <c r="AC334" t="s">
        <v>1652</v>
      </c>
      <c r="AD334" t="s">
        <v>1653</v>
      </c>
      <c r="AE334" t="s">
        <v>52</v>
      </c>
    </row>
    <row r="335" spans="1:31" x14ac:dyDescent="0.3">
      <c r="A335" t="s">
        <v>1572</v>
      </c>
      <c r="B335" s="4">
        <v>45654</v>
      </c>
      <c r="C335" t="s">
        <v>1646</v>
      </c>
      <c r="D335" t="s">
        <v>1573</v>
      </c>
      <c r="E335" t="s">
        <v>40</v>
      </c>
      <c r="F335" t="s">
        <v>1574</v>
      </c>
      <c r="G335" t="s">
        <v>79</v>
      </c>
      <c r="H335" t="s">
        <v>1575</v>
      </c>
      <c r="I335">
        <v>799</v>
      </c>
      <c r="J335">
        <v>1</v>
      </c>
      <c r="K335" t="s">
        <v>1647</v>
      </c>
      <c r="L335">
        <v>799</v>
      </c>
      <c r="M335">
        <v>639.20000000000005</v>
      </c>
      <c r="N335" t="s">
        <v>1101</v>
      </c>
      <c r="O335">
        <v>20</v>
      </c>
      <c r="P335">
        <v>159.80000000000001</v>
      </c>
      <c r="Q335" t="s">
        <v>128</v>
      </c>
      <c r="R335" t="s">
        <v>31</v>
      </c>
      <c r="S335" t="s">
        <v>47</v>
      </c>
      <c r="T335" t="s">
        <v>47</v>
      </c>
      <c r="U335" t="s">
        <v>47</v>
      </c>
      <c r="V335" s="4">
        <v>45679</v>
      </c>
      <c r="W335" t="s">
        <v>1648</v>
      </c>
      <c r="X335" t="s">
        <v>1650</v>
      </c>
      <c r="Y335" t="s">
        <v>35</v>
      </c>
      <c r="Z335" t="s">
        <v>36</v>
      </c>
      <c r="AB335" s="4"/>
      <c r="AC335" t="s">
        <v>1649</v>
      </c>
      <c r="AD335" t="s">
        <v>1651</v>
      </c>
      <c r="AE335" t="s">
        <v>37</v>
      </c>
    </row>
    <row r="336" spans="1:31" x14ac:dyDescent="0.3">
      <c r="A336" t="s">
        <v>1576</v>
      </c>
      <c r="B336" s="4">
        <v>45654</v>
      </c>
      <c r="C336" t="s">
        <v>1646</v>
      </c>
      <c r="D336" t="s">
        <v>1577</v>
      </c>
      <c r="E336" t="s">
        <v>26</v>
      </c>
      <c r="F336" t="s">
        <v>1578</v>
      </c>
      <c r="G336" t="s">
        <v>28</v>
      </c>
      <c r="H336" t="s">
        <v>1579</v>
      </c>
      <c r="I336">
        <v>1899</v>
      </c>
      <c r="J336">
        <v>1</v>
      </c>
      <c r="K336" t="s">
        <v>1647</v>
      </c>
      <c r="L336">
        <v>1899</v>
      </c>
      <c r="M336">
        <v>1899</v>
      </c>
      <c r="O336">
        <v>0</v>
      </c>
      <c r="P336">
        <v>0</v>
      </c>
      <c r="Q336" t="s">
        <v>70</v>
      </c>
      <c r="R336" t="s">
        <v>46</v>
      </c>
      <c r="S336" t="s">
        <v>101</v>
      </c>
      <c r="T336" t="s">
        <v>102</v>
      </c>
      <c r="U336" t="s">
        <v>47</v>
      </c>
      <c r="V336" s="4">
        <v>45680</v>
      </c>
      <c r="W336" t="s">
        <v>1648</v>
      </c>
      <c r="X336" t="s">
        <v>1650</v>
      </c>
      <c r="Y336" t="s">
        <v>35</v>
      </c>
      <c r="Z336" t="s">
        <v>49</v>
      </c>
      <c r="AA336" t="s">
        <v>158</v>
      </c>
      <c r="AB336" s="4">
        <v>45707</v>
      </c>
      <c r="AC336" t="s">
        <v>1652</v>
      </c>
      <c r="AD336" t="s">
        <v>1653</v>
      </c>
      <c r="AE336" t="s">
        <v>52</v>
      </c>
    </row>
    <row r="337" spans="1:31" x14ac:dyDescent="0.3">
      <c r="A337" t="s">
        <v>1580</v>
      </c>
      <c r="B337" s="4">
        <v>45654</v>
      </c>
      <c r="C337" t="s">
        <v>1646</v>
      </c>
      <c r="D337" t="s">
        <v>1581</v>
      </c>
      <c r="E337" t="s">
        <v>26</v>
      </c>
      <c r="F337" t="s">
        <v>1582</v>
      </c>
      <c r="G337" t="s">
        <v>42</v>
      </c>
      <c r="H337" t="s">
        <v>1583</v>
      </c>
      <c r="I337">
        <v>4099</v>
      </c>
      <c r="J337">
        <v>1</v>
      </c>
      <c r="K337" t="s">
        <v>1647</v>
      </c>
      <c r="L337">
        <v>4099</v>
      </c>
      <c r="M337">
        <v>4099</v>
      </c>
      <c r="O337">
        <v>0</v>
      </c>
      <c r="P337">
        <v>0</v>
      </c>
      <c r="Q337" t="s">
        <v>45</v>
      </c>
      <c r="R337" t="s">
        <v>71</v>
      </c>
      <c r="S337" t="s">
        <v>72</v>
      </c>
      <c r="T337" t="s">
        <v>73</v>
      </c>
      <c r="U337" t="s">
        <v>61</v>
      </c>
      <c r="V337" s="4">
        <v>45681</v>
      </c>
      <c r="W337" t="s">
        <v>1648</v>
      </c>
      <c r="X337" t="s">
        <v>1650</v>
      </c>
      <c r="Y337" t="s">
        <v>35</v>
      </c>
      <c r="Z337" t="s">
        <v>49</v>
      </c>
      <c r="AA337" t="s">
        <v>50</v>
      </c>
      <c r="AB337" s="4">
        <v>45709</v>
      </c>
      <c r="AC337" t="s">
        <v>1652</v>
      </c>
      <c r="AD337" t="s">
        <v>1653</v>
      </c>
      <c r="AE337" t="s">
        <v>52</v>
      </c>
    </row>
    <row r="338" spans="1:31" x14ac:dyDescent="0.3">
      <c r="A338" t="s">
        <v>1585</v>
      </c>
      <c r="B338" s="4">
        <v>45654</v>
      </c>
      <c r="C338" t="s">
        <v>1646</v>
      </c>
      <c r="D338" t="s">
        <v>1586</v>
      </c>
      <c r="E338" t="s">
        <v>26</v>
      </c>
      <c r="F338" t="s">
        <v>1587</v>
      </c>
      <c r="G338" t="s">
        <v>58</v>
      </c>
      <c r="H338" t="s">
        <v>1588</v>
      </c>
      <c r="I338">
        <v>2299</v>
      </c>
      <c r="J338">
        <v>1</v>
      </c>
      <c r="K338" t="s">
        <v>1647</v>
      </c>
      <c r="L338">
        <v>2299</v>
      </c>
      <c r="M338">
        <v>1839.2</v>
      </c>
      <c r="N338" t="s">
        <v>1101</v>
      </c>
      <c r="O338">
        <v>20</v>
      </c>
      <c r="P338">
        <v>459.8</v>
      </c>
      <c r="Q338" t="s">
        <v>30</v>
      </c>
      <c r="R338" t="s">
        <v>31</v>
      </c>
      <c r="S338" t="s">
        <v>86</v>
      </c>
      <c r="T338" t="s">
        <v>87</v>
      </c>
      <c r="U338" t="s">
        <v>61</v>
      </c>
      <c r="V338" s="4">
        <v>45681</v>
      </c>
      <c r="W338" t="s">
        <v>1648</v>
      </c>
      <c r="X338" t="s">
        <v>1650</v>
      </c>
      <c r="Y338" t="s">
        <v>35</v>
      </c>
      <c r="Z338" t="s">
        <v>36</v>
      </c>
      <c r="AB338" s="4"/>
      <c r="AC338" t="s">
        <v>1649</v>
      </c>
      <c r="AD338" t="s">
        <v>1651</v>
      </c>
      <c r="AE338" t="s">
        <v>37</v>
      </c>
    </row>
    <row r="339" spans="1:31" x14ac:dyDescent="0.3">
      <c r="A339" t="s">
        <v>1589</v>
      </c>
      <c r="B339" s="4">
        <v>45655</v>
      </c>
      <c r="C339" t="s">
        <v>1646</v>
      </c>
      <c r="D339" t="s">
        <v>1590</v>
      </c>
      <c r="E339" t="s">
        <v>26</v>
      </c>
      <c r="F339" t="s">
        <v>1591</v>
      </c>
      <c r="G339" t="s">
        <v>67</v>
      </c>
      <c r="H339" t="s">
        <v>1592</v>
      </c>
      <c r="I339">
        <v>5799</v>
      </c>
      <c r="J339">
        <v>1</v>
      </c>
      <c r="K339" t="s">
        <v>1647</v>
      </c>
      <c r="L339">
        <v>5799</v>
      </c>
      <c r="M339">
        <v>5799</v>
      </c>
      <c r="O339">
        <v>0</v>
      </c>
      <c r="P339">
        <v>0</v>
      </c>
      <c r="Q339" t="s">
        <v>60</v>
      </c>
      <c r="R339" t="s">
        <v>46</v>
      </c>
      <c r="S339" t="s">
        <v>95</v>
      </c>
      <c r="T339" t="s">
        <v>33</v>
      </c>
      <c r="U339" t="s">
        <v>32</v>
      </c>
      <c r="V339" s="4">
        <v>45682</v>
      </c>
      <c r="W339" t="s">
        <v>1648</v>
      </c>
      <c r="X339" t="s">
        <v>1650</v>
      </c>
      <c r="Y339" t="s">
        <v>35</v>
      </c>
      <c r="Z339" t="s">
        <v>49</v>
      </c>
      <c r="AA339" t="s">
        <v>89</v>
      </c>
      <c r="AB339" s="4">
        <v>45710</v>
      </c>
      <c r="AC339" t="s">
        <v>1652</v>
      </c>
      <c r="AD339" t="s">
        <v>1653</v>
      </c>
      <c r="AE339" t="s">
        <v>52</v>
      </c>
    </row>
    <row r="340" spans="1:31" x14ac:dyDescent="0.3">
      <c r="A340" t="s">
        <v>1594</v>
      </c>
      <c r="B340" s="4">
        <v>45655</v>
      </c>
      <c r="C340" t="s">
        <v>1646</v>
      </c>
      <c r="D340" t="s">
        <v>1595</v>
      </c>
      <c r="E340" t="s">
        <v>40</v>
      </c>
      <c r="F340" t="s">
        <v>1596</v>
      </c>
      <c r="G340" t="s">
        <v>79</v>
      </c>
      <c r="H340" t="s">
        <v>1597</v>
      </c>
      <c r="I340">
        <v>699</v>
      </c>
      <c r="J340">
        <v>2</v>
      </c>
      <c r="K340" t="s">
        <v>1647</v>
      </c>
      <c r="L340">
        <v>1398</v>
      </c>
      <c r="M340">
        <v>1398</v>
      </c>
      <c r="O340">
        <v>0</v>
      </c>
      <c r="P340">
        <v>0</v>
      </c>
      <c r="Q340" t="s">
        <v>128</v>
      </c>
      <c r="R340" t="s">
        <v>71</v>
      </c>
      <c r="S340" t="s">
        <v>108</v>
      </c>
      <c r="T340" t="s">
        <v>109</v>
      </c>
      <c r="U340" t="s">
        <v>32</v>
      </c>
      <c r="V340" s="4">
        <v>45681</v>
      </c>
      <c r="W340" t="s">
        <v>1648</v>
      </c>
      <c r="X340" t="s">
        <v>1650</v>
      </c>
      <c r="Y340" t="s">
        <v>35</v>
      </c>
      <c r="Z340" t="s">
        <v>49</v>
      </c>
      <c r="AA340" t="s">
        <v>75</v>
      </c>
      <c r="AB340" s="4">
        <v>45708</v>
      </c>
      <c r="AC340" t="s">
        <v>1652</v>
      </c>
      <c r="AD340" t="s">
        <v>1653</v>
      </c>
      <c r="AE340" t="s">
        <v>52</v>
      </c>
    </row>
    <row r="341" spans="1:31" s="5" customFormat="1" x14ac:dyDescent="0.3">
      <c r="A341" s="5" t="s">
        <v>1598</v>
      </c>
      <c r="B341" s="6">
        <v>45655</v>
      </c>
      <c r="C341" s="5" t="s">
        <v>1646</v>
      </c>
      <c r="D341" s="8" t="s">
        <v>1599</v>
      </c>
      <c r="E341" s="5" t="s">
        <v>26</v>
      </c>
      <c r="F341" s="5" t="s">
        <v>1600</v>
      </c>
      <c r="G341" s="5" t="s">
        <v>28</v>
      </c>
      <c r="H341" s="5" t="s">
        <v>1601</v>
      </c>
      <c r="I341" s="5">
        <v>1999</v>
      </c>
      <c r="J341" s="5">
        <v>1</v>
      </c>
      <c r="K341" s="5" t="s">
        <v>1647</v>
      </c>
      <c r="L341" s="5">
        <v>1999</v>
      </c>
      <c r="M341" s="5">
        <v>1599.2</v>
      </c>
      <c r="N341" s="5" t="s">
        <v>1101</v>
      </c>
      <c r="O341" s="5">
        <v>20</v>
      </c>
      <c r="P341" s="5">
        <v>399.8</v>
      </c>
      <c r="Q341" s="5" t="s">
        <v>70</v>
      </c>
      <c r="R341" s="5" t="s">
        <v>31</v>
      </c>
      <c r="S341" s="5" t="s">
        <v>116</v>
      </c>
      <c r="T341" s="5" t="s">
        <v>117</v>
      </c>
      <c r="U341" s="5" t="s">
        <v>47</v>
      </c>
      <c r="V341" s="6">
        <v>45682</v>
      </c>
      <c r="W341" s="5" t="s">
        <v>1648</v>
      </c>
      <c r="X341" s="5" t="s">
        <v>1650</v>
      </c>
      <c r="Y341" s="5" t="s">
        <v>35</v>
      </c>
      <c r="Z341" s="5" t="s">
        <v>36</v>
      </c>
      <c r="AB341" s="6"/>
      <c r="AC341" s="5" t="s">
        <v>1649</v>
      </c>
      <c r="AD341" s="5" t="s">
        <v>1651</v>
      </c>
      <c r="AE341" s="5" t="s">
        <v>37</v>
      </c>
    </row>
    <row r="342" spans="1:31" s="5" customFormat="1" x14ac:dyDescent="0.3">
      <c r="A342" s="5" t="s">
        <v>1602</v>
      </c>
      <c r="B342" s="6">
        <v>45655</v>
      </c>
      <c r="C342" s="5" t="s">
        <v>1646</v>
      </c>
      <c r="D342" s="8" t="s">
        <v>1599</v>
      </c>
      <c r="E342" s="5" t="s">
        <v>26</v>
      </c>
      <c r="F342" s="5" t="s">
        <v>1603</v>
      </c>
      <c r="G342" s="5" t="s">
        <v>42</v>
      </c>
      <c r="H342" s="5" t="s">
        <v>1604</v>
      </c>
      <c r="I342" s="5">
        <v>3899</v>
      </c>
      <c r="J342" s="5">
        <v>1</v>
      </c>
      <c r="K342" s="5" t="s">
        <v>1647</v>
      </c>
      <c r="L342" s="5">
        <v>3899</v>
      </c>
      <c r="M342" s="5">
        <v>3899</v>
      </c>
      <c r="O342" s="5">
        <v>0</v>
      </c>
      <c r="P342" s="5">
        <v>0</v>
      </c>
      <c r="Q342" s="5" t="s">
        <v>45</v>
      </c>
      <c r="R342" s="5" t="s">
        <v>46</v>
      </c>
      <c r="S342" s="5" t="s">
        <v>129</v>
      </c>
      <c r="T342" s="5" t="s">
        <v>130</v>
      </c>
      <c r="U342" s="5" t="s">
        <v>47</v>
      </c>
      <c r="V342" s="6">
        <v>45683</v>
      </c>
      <c r="W342" s="5" t="s">
        <v>1648</v>
      </c>
      <c r="X342" s="5" t="s">
        <v>1650</v>
      </c>
      <c r="Y342" s="5" t="s">
        <v>35</v>
      </c>
      <c r="Z342" s="5" t="s">
        <v>49</v>
      </c>
      <c r="AA342" s="5" t="s">
        <v>50</v>
      </c>
      <c r="AB342" s="6">
        <v>45711</v>
      </c>
      <c r="AC342" s="5" t="s">
        <v>1652</v>
      </c>
      <c r="AD342" s="5" t="s">
        <v>1653</v>
      </c>
      <c r="AE342" s="5" t="s">
        <v>52</v>
      </c>
    </row>
    <row r="343" spans="1:31" x14ac:dyDescent="0.3">
      <c r="A343" t="s">
        <v>1606</v>
      </c>
      <c r="B343" s="4">
        <v>45656</v>
      </c>
      <c r="C343" t="s">
        <v>1646</v>
      </c>
      <c r="D343" t="s">
        <v>1607</v>
      </c>
      <c r="E343" t="s">
        <v>26</v>
      </c>
      <c r="F343" t="s">
        <v>1608</v>
      </c>
      <c r="G343" t="s">
        <v>58</v>
      </c>
      <c r="H343" t="s">
        <v>1609</v>
      </c>
      <c r="I343">
        <v>2099</v>
      </c>
      <c r="J343">
        <v>1</v>
      </c>
      <c r="K343" t="s">
        <v>1647</v>
      </c>
      <c r="L343">
        <v>2099</v>
      </c>
      <c r="M343">
        <v>2099</v>
      </c>
      <c r="O343">
        <v>0</v>
      </c>
      <c r="P343">
        <v>0</v>
      </c>
      <c r="Q343" t="s">
        <v>30</v>
      </c>
      <c r="R343" t="s">
        <v>71</v>
      </c>
      <c r="S343" t="s">
        <v>61</v>
      </c>
      <c r="T343" t="s">
        <v>62</v>
      </c>
      <c r="U343" t="s">
        <v>61</v>
      </c>
      <c r="V343" s="4">
        <v>45683</v>
      </c>
      <c r="W343" t="s">
        <v>1648</v>
      </c>
      <c r="X343" t="s">
        <v>1650</v>
      </c>
      <c r="Y343" t="s">
        <v>35</v>
      </c>
      <c r="Z343" t="s">
        <v>36</v>
      </c>
      <c r="AB343" s="4"/>
      <c r="AC343" t="s">
        <v>1649</v>
      </c>
      <c r="AD343" t="s">
        <v>1651</v>
      </c>
      <c r="AE343" t="s">
        <v>37</v>
      </c>
    </row>
    <row r="344" spans="1:31" x14ac:dyDescent="0.3">
      <c r="A344" t="s">
        <v>1610</v>
      </c>
      <c r="B344" s="4">
        <v>45656</v>
      </c>
      <c r="C344" t="s">
        <v>1646</v>
      </c>
      <c r="D344" t="s">
        <v>1611</v>
      </c>
      <c r="E344" t="s">
        <v>26</v>
      </c>
      <c r="F344" t="s">
        <v>1612</v>
      </c>
      <c r="G344" t="s">
        <v>67</v>
      </c>
      <c r="H344" t="s">
        <v>1613</v>
      </c>
      <c r="I344">
        <v>4899</v>
      </c>
      <c r="J344">
        <v>1</v>
      </c>
      <c r="K344" t="s">
        <v>1647</v>
      </c>
      <c r="L344">
        <v>4899</v>
      </c>
      <c r="M344">
        <v>3919.2</v>
      </c>
      <c r="N344" t="s">
        <v>1101</v>
      </c>
      <c r="O344">
        <v>20</v>
      </c>
      <c r="P344">
        <v>979.8</v>
      </c>
      <c r="Q344" t="s">
        <v>60</v>
      </c>
      <c r="R344" t="s">
        <v>31</v>
      </c>
      <c r="S344" t="s">
        <v>32</v>
      </c>
      <c r="T344" t="s">
        <v>33</v>
      </c>
      <c r="U344" t="s">
        <v>32</v>
      </c>
      <c r="V344" s="4">
        <v>45684</v>
      </c>
      <c r="W344" t="s">
        <v>1648</v>
      </c>
      <c r="X344" t="s">
        <v>1650</v>
      </c>
      <c r="Y344" t="s">
        <v>35</v>
      </c>
      <c r="Z344" t="s">
        <v>49</v>
      </c>
      <c r="AA344" t="s">
        <v>119</v>
      </c>
      <c r="AB344" s="4">
        <v>45712</v>
      </c>
      <c r="AC344" t="s">
        <v>1652</v>
      </c>
      <c r="AD344" t="s">
        <v>1653</v>
      </c>
      <c r="AE344" t="s">
        <v>52</v>
      </c>
    </row>
    <row r="345" spans="1:31" x14ac:dyDescent="0.3">
      <c r="A345" t="s">
        <v>1615</v>
      </c>
      <c r="B345" s="4">
        <v>45656</v>
      </c>
      <c r="C345" t="s">
        <v>1646</v>
      </c>
      <c r="D345" t="s">
        <v>1616</v>
      </c>
      <c r="E345" t="s">
        <v>40</v>
      </c>
      <c r="F345" t="s">
        <v>1617</v>
      </c>
      <c r="G345" t="s">
        <v>79</v>
      </c>
      <c r="H345" t="s">
        <v>1618</v>
      </c>
      <c r="I345">
        <v>599</v>
      </c>
      <c r="J345">
        <v>3</v>
      </c>
      <c r="K345" t="s">
        <v>1647</v>
      </c>
      <c r="L345">
        <v>1797</v>
      </c>
      <c r="M345">
        <v>1797</v>
      </c>
      <c r="O345">
        <v>0</v>
      </c>
      <c r="P345">
        <v>0</v>
      </c>
      <c r="Q345" t="s">
        <v>128</v>
      </c>
      <c r="R345" t="s">
        <v>46</v>
      </c>
      <c r="S345" t="s">
        <v>47</v>
      </c>
      <c r="T345" t="s">
        <v>47</v>
      </c>
      <c r="U345" t="s">
        <v>47</v>
      </c>
      <c r="V345" s="4">
        <v>45683</v>
      </c>
      <c r="W345" t="s">
        <v>1648</v>
      </c>
      <c r="X345" t="s">
        <v>1650</v>
      </c>
      <c r="Y345" t="s">
        <v>35</v>
      </c>
      <c r="Z345" t="s">
        <v>36</v>
      </c>
      <c r="AB345" s="4"/>
      <c r="AC345" t="s">
        <v>1649</v>
      </c>
      <c r="AD345" t="s">
        <v>1651</v>
      </c>
      <c r="AE345" t="s">
        <v>37</v>
      </c>
    </row>
    <row r="346" spans="1:31" x14ac:dyDescent="0.3">
      <c r="A346" t="s">
        <v>1619</v>
      </c>
      <c r="B346" s="4">
        <v>45656</v>
      </c>
      <c r="C346" t="s">
        <v>1646</v>
      </c>
      <c r="D346" t="s">
        <v>1620</v>
      </c>
      <c r="E346" t="s">
        <v>26</v>
      </c>
      <c r="F346" t="s">
        <v>1621</v>
      </c>
      <c r="G346" t="s">
        <v>28</v>
      </c>
      <c r="H346" t="s">
        <v>1622</v>
      </c>
      <c r="I346">
        <v>2199</v>
      </c>
      <c r="J346">
        <v>1</v>
      </c>
      <c r="K346" t="s">
        <v>1647</v>
      </c>
      <c r="L346">
        <v>2199</v>
      </c>
      <c r="M346">
        <v>2199</v>
      </c>
      <c r="O346">
        <v>0</v>
      </c>
      <c r="P346">
        <v>0</v>
      </c>
      <c r="Q346" t="s">
        <v>70</v>
      </c>
      <c r="R346" t="s">
        <v>71</v>
      </c>
      <c r="S346" t="s">
        <v>135</v>
      </c>
      <c r="T346" t="s">
        <v>136</v>
      </c>
      <c r="U346" t="s">
        <v>47</v>
      </c>
      <c r="V346" s="4">
        <v>45684</v>
      </c>
      <c r="W346" t="s">
        <v>1648</v>
      </c>
      <c r="X346" t="s">
        <v>1650</v>
      </c>
      <c r="Y346" t="s">
        <v>35</v>
      </c>
      <c r="Z346" t="s">
        <v>49</v>
      </c>
      <c r="AA346" t="s">
        <v>158</v>
      </c>
      <c r="AB346" s="4">
        <v>45711</v>
      </c>
      <c r="AC346" t="s">
        <v>1652</v>
      </c>
      <c r="AD346" t="s">
        <v>1653</v>
      </c>
      <c r="AE346" t="s">
        <v>52</v>
      </c>
    </row>
    <row r="347" spans="1:31" x14ac:dyDescent="0.3">
      <c r="A347" t="s">
        <v>1623</v>
      </c>
      <c r="B347" s="4">
        <v>45657</v>
      </c>
      <c r="C347" t="s">
        <v>1646</v>
      </c>
      <c r="D347" t="s">
        <v>1624</v>
      </c>
      <c r="E347" t="s">
        <v>26</v>
      </c>
      <c r="F347" t="s">
        <v>1625</v>
      </c>
      <c r="G347" t="s">
        <v>42</v>
      </c>
      <c r="H347" t="s">
        <v>1274</v>
      </c>
      <c r="I347">
        <v>4499</v>
      </c>
      <c r="J347">
        <v>1</v>
      </c>
      <c r="K347" t="s">
        <v>1647</v>
      </c>
      <c r="L347">
        <v>4499</v>
      </c>
      <c r="M347">
        <v>3599.2</v>
      </c>
      <c r="N347" t="s">
        <v>1101</v>
      </c>
      <c r="O347">
        <v>20</v>
      </c>
      <c r="P347">
        <v>899.8</v>
      </c>
      <c r="Q347" t="s">
        <v>45</v>
      </c>
      <c r="R347" t="s">
        <v>31</v>
      </c>
      <c r="S347" t="s">
        <v>156</v>
      </c>
      <c r="T347" t="s">
        <v>130</v>
      </c>
      <c r="U347" t="s">
        <v>47</v>
      </c>
      <c r="V347" s="4">
        <v>45685</v>
      </c>
      <c r="W347" t="s">
        <v>1648</v>
      </c>
      <c r="X347" t="s">
        <v>1650</v>
      </c>
      <c r="Y347" t="s">
        <v>35</v>
      </c>
      <c r="Z347" t="s">
        <v>49</v>
      </c>
      <c r="AA347" t="s">
        <v>50</v>
      </c>
      <c r="AB347" s="4">
        <v>45713</v>
      </c>
      <c r="AC347" t="s">
        <v>1652</v>
      </c>
      <c r="AD347" t="s">
        <v>1653</v>
      </c>
      <c r="AE347" t="s">
        <v>52</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1C61-7913-43BB-8B53-BEE5CB3972B6}">
  <dimension ref="A1:AE340"/>
  <sheetViews>
    <sheetView topLeftCell="M1" workbookViewId="0">
      <selection activeCell="A11" sqref="A11"/>
    </sheetView>
  </sheetViews>
  <sheetFormatPr defaultRowHeight="14.4" x14ac:dyDescent="0.3"/>
  <cols>
    <col min="1" max="1" width="10.21875" bestFit="1" customWidth="1"/>
    <col min="2" max="2" width="12.33203125" bestFit="1" customWidth="1"/>
    <col min="3" max="3" width="26.109375" bestFit="1" customWidth="1"/>
    <col min="4" max="4" width="13.5546875" bestFit="1" customWidth="1"/>
    <col min="5" max="5" width="8.77734375" bestFit="1" customWidth="1"/>
    <col min="6" max="6" width="14.33203125" bestFit="1" customWidth="1"/>
    <col min="7" max="7" width="10.77734375" bestFit="1" customWidth="1"/>
    <col min="8" max="8" width="21.6640625" bestFit="1" customWidth="1"/>
    <col min="9" max="9" width="11.33203125" bestFit="1" customWidth="1"/>
    <col min="10" max="10" width="6.21875" bestFit="1" customWidth="1"/>
    <col min="11" max="11" width="26.21875" bestFit="1" customWidth="1"/>
    <col min="12" max="12" width="7.44140625" bestFit="1" customWidth="1"/>
    <col min="13" max="13" width="27.109375" bestFit="1" customWidth="1"/>
    <col min="14" max="14" width="15.44140625" bestFit="1" customWidth="1"/>
    <col min="15" max="15" width="8.44140625" bestFit="1" customWidth="1"/>
    <col min="16" max="16" width="18.5546875" bestFit="1" customWidth="1"/>
    <col min="17" max="17" width="10.77734375" bestFit="1" customWidth="1"/>
    <col min="18" max="18" width="13.6640625" bestFit="1" customWidth="1"/>
    <col min="19" max="19" width="18.109375" bestFit="1" customWidth="1"/>
    <col min="20" max="20" width="15.5546875" bestFit="1" customWidth="1"/>
    <col min="21" max="21" width="12.77734375" bestFit="1" customWidth="1"/>
    <col min="22" max="22" width="14.33203125" bestFit="1" customWidth="1"/>
    <col min="23" max="23" width="24.77734375" bestFit="1" customWidth="1"/>
    <col min="24" max="24" width="25" bestFit="1" customWidth="1"/>
    <col min="25" max="25" width="8.88671875" bestFit="1" customWidth="1"/>
    <col min="26" max="26" width="9.77734375" bestFit="1" customWidth="1"/>
    <col min="27" max="27" width="16.6640625" bestFit="1" customWidth="1"/>
    <col min="28" max="28" width="17" bestFit="1" customWidth="1"/>
    <col min="29" max="29" width="23.6640625" bestFit="1" customWidth="1"/>
    <col min="30" max="30" width="26.77734375" bestFit="1" customWidth="1"/>
    <col min="31" max="31" width="12.88671875" bestFit="1" customWidth="1"/>
    <col min="32" max="32" width="10.21875" customWidth="1"/>
    <col min="33" max="33" width="10.33203125" bestFit="1" customWidth="1"/>
    <col min="34" max="34" width="12.88671875" bestFit="1" customWidth="1"/>
  </cols>
  <sheetData>
    <row r="1" spans="1:31" x14ac:dyDescent="0.3">
      <c r="A1" t="s">
        <v>0</v>
      </c>
      <c r="B1" t="s">
        <v>1</v>
      </c>
      <c r="C1" t="s">
        <v>1635</v>
      </c>
      <c r="D1" t="s">
        <v>2</v>
      </c>
      <c r="E1" t="s">
        <v>3</v>
      </c>
      <c r="F1" t="s">
        <v>1636</v>
      </c>
      <c r="G1" t="s">
        <v>5</v>
      </c>
      <c r="H1" t="s">
        <v>6</v>
      </c>
      <c r="I1" t="s">
        <v>7</v>
      </c>
      <c r="J1" t="s">
        <v>8</v>
      </c>
      <c r="K1" t="s">
        <v>1637</v>
      </c>
      <c r="L1" t="s">
        <v>9</v>
      </c>
      <c r="M1" t="s">
        <v>1638</v>
      </c>
      <c r="N1" t="s">
        <v>10</v>
      </c>
      <c r="O1" t="s">
        <v>11</v>
      </c>
      <c r="P1" t="s">
        <v>1639</v>
      </c>
      <c r="Q1" t="s">
        <v>12</v>
      </c>
      <c r="R1" t="s">
        <v>13</v>
      </c>
      <c r="S1" t="s">
        <v>14</v>
      </c>
      <c r="T1" t="s">
        <v>15</v>
      </c>
      <c r="U1" t="s">
        <v>16</v>
      </c>
      <c r="V1" t="s">
        <v>1640</v>
      </c>
      <c r="W1" t="s">
        <v>1641</v>
      </c>
      <c r="X1" t="s">
        <v>1644</v>
      </c>
      <c r="Y1" t="s">
        <v>18</v>
      </c>
      <c r="Z1" t="s">
        <v>19</v>
      </c>
      <c r="AA1" t="s">
        <v>20</v>
      </c>
      <c r="AB1" t="s">
        <v>1642</v>
      </c>
      <c r="AC1" t="s">
        <v>1643</v>
      </c>
      <c r="AD1" t="s">
        <v>1645</v>
      </c>
      <c r="AE1" t="s">
        <v>22</v>
      </c>
    </row>
    <row r="2" spans="1:31" x14ac:dyDescent="0.3">
      <c r="A2" t="s">
        <v>64</v>
      </c>
      <c r="B2" s="4">
        <v>45566</v>
      </c>
      <c r="C2" t="s">
        <v>1646</v>
      </c>
      <c r="D2" t="s">
        <v>65</v>
      </c>
      <c r="E2" t="s">
        <v>26</v>
      </c>
      <c r="F2" t="s">
        <v>66</v>
      </c>
      <c r="G2" t="s">
        <v>67</v>
      </c>
      <c r="H2" t="s">
        <v>68</v>
      </c>
      <c r="I2">
        <v>3499</v>
      </c>
      <c r="J2">
        <v>1</v>
      </c>
      <c r="K2" t="s">
        <v>1647</v>
      </c>
      <c r="L2">
        <v>3499</v>
      </c>
      <c r="M2">
        <v>2974.15</v>
      </c>
      <c r="N2" t="s">
        <v>69</v>
      </c>
      <c r="O2">
        <v>15</v>
      </c>
      <c r="P2">
        <v>524.85</v>
      </c>
      <c r="Q2" t="s">
        <v>70</v>
      </c>
      <c r="R2" t="s">
        <v>71</v>
      </c>
      <c r="S2" t="s">
        <v>72</v>
      </c>
      <c r="T2" t="s">
        <v>73</v>
      </c>
      <c r="U2" t="s">
        <v>32</v>
      </c>
      <c r="V2" s="4">
        <v>45573</v>
      </c>
      <c r="W2" t="s">
        <v>1648</v>
      </c>
      <c r="X2" t="s">
        <v>1650</v>
      </c>
      <c r="Y2" t="s">
        <v>35</v>
      </c>
      <c r="Z2" t="s">
        <v>49</v>
      </c>
      <c r="AA2" t="s">
        <v>75</v>
      </c>
      <c r="AB2" s="4">
        <v>45585</v>
      </c>
      <c r="AC2" t="s">
        <v>1652</v>
      </c>
      <c r="AD2" t="s">
        <v>1653</v>
      </c>
      <c r="AE2" t="s">
        <v>52</v>
      </c>
    </row>
    <row r="3" spans="1:31" x14ac:dyDescent="0.3">
      <c r="A3" t="s">
        <v>81</v>
      </c>
      <c r="B3" s="4">
        <v>45567</v>
      </c>
      <c r="C3" t="s">
        <v>1646</v>
      </c>
      <c r="D3" t="s">
        <v>83</v>
      </c>
      <c r="E3" t="s">
        <v>40</v>
      </c>
      <c r="F3" t="s">
        <v>84</v>
      </c>
      <c r="G3" t="s">
        <v>28</v>
      </c>
      <c r="H3" t="s">
        <v>85</v>
      </c>
      <c r="I3">
        <v>1599</v>
      </c>
      <c r="J3">
        <v>2</v>
      </c>
      <c r="K3" t="s">
        <v>1647</v>
      </c>
      <c r="L3">
        <v>3198</v>
      </c>
      <c r="M3">
        <v>3198</v>
      </c>
      <c r="O3">
        <v>0</v>
      </c>
      <c r="P3">
        <v>0</v>
      </c>
      <c r="Q3" t="s">
        <v>45</v>
      </c>
      <c r="R3" t="s">
        <v>46</v>
      </c>
      <c r="S3" t="s">
        <v>86</v>
      </c>
      <c r="T3" t="s">
        <v>87</v>
      </c>
      <c r="U3" t="s">
        <v>61</v>
      </c>
      <c r="V3" s="4">
        <v>45572</v>
      </c>
      <c r="W3" t="s">
        <v>1648</v>
      </c>
      <c r="X3" t="s">
        <v>1650</v>
      </c>
      <c r="Y3" t="s">
        <v>35</v>
      </c>
      <c r="Z3" t="s">
        <v>49</v>
      </c>
      <c r="AA3" t="s">
        <v>89</v>
      </c>
      <c r="AB3" s="4">
        <v>45583</v>
      </c>
      <c r="AC3" t="s">
        <v>1652</v>
      </c>
      <c r="AD3" t="s">
        <v>1653</v>
      </c>
      <c r="AE3" t="s">
        <v>52</v>
      </c>
    </row>
    <row r="4" spans="1:31" x14ac:dyDescent="0.3">
      <c r="A4" t="s">
        <v>91</v>
      </c>
      <c r="B4" s="4">
        <v>45567</v>
      </c>
      <c r="C4" t="s">
        <v>1646</v>
      </c>
      <c r="D4" t="s">
        <v>92</v>
      </c>
      <c r="E4" t="s">
        <v>26</v>
      </c>
      <c r="F4" t="s">
        <v>93</v>
      </c>
      <c r="G4" t="s">
        <v>42</v>
      </c>
      <c r="H4" t="s">
        <v>94</v>
      </c>
      <c r="I4">
        <v>2199</v>
      </c>
      <c r="J4">
        <v>1</v>
      </c>
      <c r="K4" t="s">
        <v>1647</v>
      </c>
      <c r="L4">
        <v>2199</v>
      </c>
      <c r="M4">
        <v>1759.2</v>
      </c>
      <c r="N4" t="s">
        <v>44</v>
      </c>
      <c r="O4">
        <v>20</v>
      </c>
      <c r="P4">
        <v>439.8</v>
      </c>
      <c r="Q4" t="s">
        <v>60</v>
      </c>
      <c r="R4" t="s">
        <v>31</v>
      </c>
      <c r="S4" t="s">
        <v>95</v>
      </c>
      <c r="T4" t="s">
        <v>33</v>
      </c>
      <c r="U4" t="s">
        <v>32</v>
      </c>
      <c r="V4" s="4"/>
      <c r="W4" t="s">
        <v>1656</v>
      </c>
      <c r="X4" t="s">
        <v>1657</v>
      </c>
      <c r="Y4" t="s">
        <v>96</v>
      </c>
      <c r="Z4" t="s">
        <v>36</v>
      </c>
      <c r="AB4" s="4"/>
      <c r="AC4" t="s">
        <v>1656</v>
      </c>
      <c r="AD4" t="s">
        <v>1651</v>
      </c>
      <c r="AE4" t="s">
        <v>37</v>
      </c>
    </row>
    <row r="5" spans="1:31" x14ac:dyDescent="0.3">
      <c r="A5" t="s">
        <v>97</v>
      </c>
      <c r="B5" s="4">
        <v>45567</v>
      </c>
      <c r="C5" t="s">
        <v>1646</v>
      </c>
      <c r="D5" t="s">
        <v>98</v>
      </c>
      <c r="E5" t="s">
        <v>26</v>
      </c>
      <c r="F5" t="s">
        <v>99</v>
      </c>
      <c r="G5" t="s">
        <v>58</v>
      </c>
      <c r="H5" t="s">
        <v>100</v>
      </c>
      <c r="I5">
        <v>2299</v>
      </c>
      <c r="J5">
        <v>1</v>
      </c>
      <c r="K5" t="s">
        <v>1647</v>
      </c>
      <c r="L5">
        <v>2299</v>
      </c>
      <c r="M5">
        <v>2299</v>
      </c>
      <c r="O5">
        <v>0</v>
      </c>
      <c r="P5">
        <v>0</v>
      </c>
      <c r="Q5" t="s">
        <v>30</v>
      </c>
      <c r="R5" t="s">
        <v>46</v>
      </c>
      <c r="S5" t="s">
        <v>101</v>
      </c>
      <c r="T5" t="s">
        <v>102</v>
      </c>
      <c r="U5" t="s">
        <v>47</v>
      </c>
      <c r="V5" s="4">
        <v>45575</v>
      </c>
      <c r="W5" t="s">
        <v>1648</v>
      </c>
      <c r="X5" t="s">
        <v>1650</v>
      </c>
      <c r="Y5" t="s">
        <v>35</v>
      </c>
      <c r="Z5" t="s">
        <v>36</v>
      </c>
      <c r="AB5" s="4"/>
      <c r="AC5" t="s">
        <v>1649</v>
      </c>
      <c r="AD5" t="s">
        <v>1651</v>
      </c>
      <c r="AE5" t="s">
        <v>37</v>
      </c>
    </row>
    <row r="6" spans="1:31" x14ac:dyDescent="0.3">
      <c r="A6" t="s">
        <v>104</v>
      </c>
      <c r="B6" s="4">
        <v>45567</v>
      </c>
      <c r="C6" t="s">
        <v>1646</v>
      </c>
      <c r="D6" t="s">
        <v>105</v>
      </c>
      <c r="E6" t="s">
        <v>40</v>
      </c>
      <c r="F6" t="s">
        <v>106</v>
      </c>
      <c r="G6" t="s">
        <v>28</v>
      </c>
      <c r="H6" t="s">
        <v>107</v>
      </c>
      <c r="I6">
        <v>1399</v>
      </c>
      <c r="J6">
        <v>5</v>
      </c>
      <c r="K6" t="s">
        <v>1647</v>
      </c>
      <c r="L6">
        <v>6995</v>
      </c>
      <c r="M6">
        <v>6995</v>
      </c>
      <c r="O6">
        <v>0</v>
      </c>
      <c r="P6">
        <v>0</v>
      </c>
      <c r="Q6" t="s">
        <v>45</v>
      </c>
      <c r="R6" t="s">
        <v>31</v>
      </c>
      <c r="S6" t="s">
        <v>108</v>
      </c>
      <c r="T6" t="s">
        <v>109</v>
      </c>
      <c r="U6" t="s">
        <v>32</v>
      </c>
      <c r="V6" s="4">
        <v>45574</v>
      </c>
      <c r="W6" t="s">
        <v>1648</v>
      </c>
      <c r="X6" t="s">
        <v>1650</v>
      </c>
      <c r="Y6" t="s">
        <v>35</v>
      </c>
      <c r="Z6" t="s">
        <v>49</v>
      </c>
      <c r="AA6" t="s">
        <v>50</v>
      </c>
      <c r="AB6" s="4">
        <v>45587</v>
      </c>
      <c r="AC6" t="s">
        <v>1652</v>
      </c>
      <c r="AD6" t="s">
        <v>1653</v>
      </c>
      <c r="AE6" t="s">
        <v>52</v>
      </c>
    </row>
    <row r="7" spans="1:31" x14ac:dyDescent="0.3">
      <c r="A7" t="s">
        <v>122</v>
      </c>
      <c r="B7" s="4">
        <v>45568</v>
      </c>
      <c r="C7" t="s">
        <v>1646</v>
      </c>
      <c r="D7" t="s">
        <v>124</v>
      </c>
      <c r="E7" t="s">
        <v>26</v>
      </c>
      <c r="F7" t="s">
        <v>125</v>
      </c>
      <c r="G7" t="s">
        <v>79</v>
      </c>
      <c r="H7" t="s">
        <v>126</v>
      </c>
      <c r="I7">
        <v>1299</v>
      </c>
      <c r="J7">
        <v>2</v>
      </c>
      <c r="K7" t="s">
        <v>1647</v>
      </c>
      <c r="L7">
        <v>2598</v>
      </c>
      <c r="M7">
        <v>2338.1999999999998</v>
      </c>
      <c r="N7" t="s">
        <v>127</v>
      </c>
      <c r="O7">
        <v>10</v>
      </c>
      <c r="P7">
        <v>259.8</v>
      </c>
      <c r="Q7" t="s">
        <v>128</v>
      </c>
      <c r="R7" t="s">
        <v>31</v>
      </c>
      <c r="S7" t="s">
        <v>129</v>
      </c>
      <c r="T7" t="s">
        <v>130</v>
      </c>
      <c r="U7" t="s">
        <v>47</v>
      </c>
      <c r="V7" s="4">
        <v>45575</v>
      </c>
      <c r="W7" t="s">
        <v>1648</v>
      </c>
      <c r="X7" t="s">
        <v>1650</v>
      </c>
      <c r="Y7" t="s">
        <v>35</v>
      </c>
      <c r="Z7" t="s">
        <v>36</v>
      </c>
      <c r="AB7" s="4"/>
      <c r="AC7" t="s">
        <v>1649</v>
      </c>
      <c r="AD7" t="s">
        <v>1651</v>
      </c>
      <c r="AE7" t="s">
        <v>37</v>
      </c>
    </row>
    <row r="8" spans="1:31" x14ac:dyDescent="0.3">
      <c r="A8" t="s">
        <v>131</v>
      </c>
      <c r="B8" s="4">
        <v>45568</v>
      </c>
      <c r="C8" t="s">
        <v>1646</v>
      </c>
      <c r="D8" t="s">
        <v>132</v>
      </c>
      <c r="E8" t="s">
        <v>26</v>
      </c>
      <c r="F8" t="s">
        <v>133</v>
      </c>
      <c r="G8" t="s">
        <v>42</v>
      </c>
      <c r="H8" t="s">
        <v>134</v>
      </c>
      <c r="I8">
        <v>3299</v>
      </c>
      <c r="J8">
        <v>1</v>
      </c>
      <c r="K8" t="s">
        <v>1647</v>
      </c>
      <c r="L8">
        <v>3299</v>
      </c>
      <c r="M8">
        <v>3299</v>
      </c>
      <c r="O8">
        <v>0</v>
      </c>
      <c r="P8">
        <v>0</v>
      </c>
      <c r="Q8" t="s">
        <v>60</v>
      </c>
      <c r="R8" t="s">
        <v>46</v>
      </c>
      <c r="S8" t="s">
        <v>135</v>
      </c>
      <c r="T8" t="s">
        <v>136</v>
      </c>
      <c r="U8" t="s">
        <v>47</v>
      </c>
      <c r="V8" s="4"/>
      <c r="W8" t="s">
        <v>1656</v>
      </c>
      <c r="X8" t="s">
        <v>1657</v>
      </c>
      <c r="Y8" t="s">
        <v>137</v>
      </c>
      <c r="Z8" t="s">
        <v>36</v>
      </c>
      <c r="AB8" s="4"/>
      <c r="AC8" t="s">
        <v>1656</v>
      </c>
      <c r="AD8" t="s">
        <v>1651</v>
      </c>
      <c r="AE8" t="s">
        <v>37</v>
      </c>
    </row>
    <row r="9" spans="1:31" x14ac:dyDescent="0.3">
      <c r="A9" t="s">
        <v>138</v>
      </c>
      <c r="B9" s="4">
        <v>45568</v>
      </c>
      <c r="C9" t="s">
        <v>1646</v>
      </c>
      <c r="D9" t="s">
        <v>139</v>
      </c>
      <c r="E9" t="s">
        <v>40</v>
      </c>
      <c r="F9" t="s">
        <v>140</v>
      </c>
      <c r="G9" t="s">
        <v>28</v>
      </c>
      <c r="H9" t="s">
        <v>141</v>
      </c>
      <c r="I9">
        <v>2499</v>
      </c>
      <c r="J9">
        <v>1</v>
      </c>
      <c r="K9" t="s">
        <v>1647</v>
      </c>
      <c r="L9">
        <v>2499</v>
      </c>
      <c r="M9">
        <v>2499</v>
      </c>
      <c r="O9">
        <v>0</v>
      </c>
      <c r="P9">
        <v>0</v>
      </c>
      <c r="Q9" t="s">
        <v>45</v>
      </c>
      <c r="R9" t="s">
        <v>31</v>
      </c>
      <c r="S9" t="s">
        <v>32</v>
      </c>
      <c r="T9" t="s">
        <v>33</v>
      </c>
      <c r="U9" t="s">
        <v>32</v>
      </c>
      <c r="V9" s="4">
        <v>45574</v>
      </c>
      <c r="W9" t="s">
        <v>1648</v>
      </c>
      <c r="X9" t="s">
        <v>1650</v>
      </c>
      <c r="Y9" t="s">
        <v>35</v>
      </c>
      <c r="Z9" t="s">
        <v>36</v>
      </c>
      <c r="AB9" s="4"/>
      <c r="AC9" t="s">
        <v>1649</v>
      </c>
      <c r="AD9" t="s">
        <v>1651</v>
      </c>
      <c r="AE9" t="s">
        <v>37</v>
      </c>
    </row>
    <row r="10" spans="1:31" x14ac:dyDescent="0.3">
      <c r="A10" t="s">
        <v>142</v>
      </c>
      <c r="B10" s="4">
        <v>45568</v>
      </c>
      <c r="C10" t="s">
        <v>1646</v>
      </c>
      <c r="D10" t="s">
        <v>143</v>
      </c>
      <c r="E10" t="s">
        <v>26</v>
      </c>
      <c r="F10" t="s">
        <v>144</v>
      </c>
      <c r="G10" t="s">
        <v>58</v>
      </c>
      <c r="H10" t="s">
        <v>145</v>
      </c>
      <c r="I10">
        <v>1799</v>
      </c>
      <c r="J10">
        <v>2</v>
      </c>
      <c r="K10" t="s">
        <v>1647</v>
      </c>
      <c r="L10">
        <v>3598</v>
      </c>
      <c r="M10">
        <v>2878.4</v>
      </c>
      <c r="N10" t="s">
        <v>44</v>
      </c>
      <c r="O10">
        <v>20</v>
      </c>
      <c r="P10">
        <v>719.6</v>
      </c>
      <c r="Q10" t="s">
        <v>30</v>
      </c>
      <c r="R10" t="s">
        <v>71</v>
      </c>
      <c r="S10" t="s">
        <v>47</v>
      </c>
      <c r="T10" t="s">
        <v>47</v>
      </c>
      <c r="U10" t="s">
        <v>47</v>
      </c>
      <c r="V10" s="4">
        <v>45576</v>
      </c>
      <c r="W10" t="s">
        <v>1648</v>
      </c>
      <c r="X10" t="s">
        <v>1650</v>
      </c>
      <c r="Y10" t="s">
        <v>35</v>
      </c>
      <c r="Z10" t="s">
        <v>49</v>
      </c>
      <c r="AA10" t="s">
        <v>50</v>
      </c>
      <c r="AB10" s="4">
        <v>45593</v>
      </c>
      <c r="AC10" t="s">
        <v>1652</v>
      </c>
      <c r="AD10" t="s">
        <v>1653</v>
      </c>
      <c r="AE10" t="s">
        <v>52</v>
      </c>
    </row>
    <row r="11" spans="1:31" x14ac:dyDescent="0.3">
      <c r="A11" t="s">
        <v>147</v>
      </c>
      <c r="B11" s="4">
        <v>45568</v>
      </c>
      <c r="C11" t="s">
        <v>1646</v>
      </c>
      <c r="D11" t="s">
        <v>148</v>
      </c>
      <c r="E11" t="s">
        <v>26</v>
      </c>
      <c r="F11" t="s">
        <v>149</v>
      </c>
      <c r="G11" t="s">
        <v>67</v>
      </c>
      <c r="H11" t="s">
        <v>150</v>
      </c>
      <c r="I11">
        <v>2799</v>
      </c>
      <c r="J11">
        <v>1</v>
      </c>
      <c r="K11" t="s">
        <v>1647</v>
      </c>
      <c r="L11">
        <v>2799</v>
      </c>
      <c r="M11">
        <v>2799</v>
      </c>
      <c r="O11">
        <v>0</v>
      </c>
      <c r="P11">
        <v>0</v>
      </c>
      <c r="Q11" t="s">
        <v>70</v>
      </c>
      <c r="R11" t="s">
        <v>46</v>
      </c>
      <c r="S11" t="s">
        <v>61</v>
      </c>
      <c r="T11" t="s">
        <v>62</v>
      </c>
      <c r="U11" t="s">
        <v>61</v>
      </c>
      <c r="V11" s="4">
        <v>45577</v>
      </c>
      <c r="W11" t="s">
        <v>1648</v>
      </c>
      <c r="X11" t="s">
        <v>1650</v>
      </c>
      <c r="Y11" t="s">
        <v>35</v>
      </c>
      <c r="Z11" t="s">
        <v>36</v>
      </c>
      <c r="AB11" s="4"/>
      <c r="AC11" t="s">
        <v>1649</v>
      </c>
      <c r="AD11" t="s">
        <v>1651</v>
      </c>
      <c r="AE11" t="s">
        <v>37</v>
      </c>
    </row>
    <row r="12" spans="1:31" x14ac:dyDescent="0.3">
      <c r="A12" t="s">
        <v>152</v>
      </c>
      <c r="B12" s="4">
        <v>45569</v>
      </c>
      <c r="C12" t="s">
        <v>1646</v>
      </c>
      <c r="D12" t="s">
        <v>153</v>
      </c>
      <c r="E12" t="s">
        <v>40</v>
      </c>
      <c r="F12" t="s">
        <v>154</v>
      </c>
      <c r="G12" t="s">
        <v>79</v>
      </c>
      <c r="H12" t="s">
        <v>155</v>
      </c>
      <c r="I12">
        <v>599</v>
      </c>
      <c r="J12">
        <v>4</v>
      </c>
      <c r="K12" t="s">
        <v>1647</v>
      </c>
      <c r="L12">
        <v>2396</v>
      </c>
      <c r="M12">
        <v>2396</v>
      </c>
      <c r="O12">
        <v>0</v>
      </c>
      <c r="P12">
        <v>0</v>
      </c>
      <c r="Q12" t="s">
        <v>60</v>
      </c>
      <c r="R12" t="s">
        <v>31</v>
      </c>
      <c r="S12" t="s">
        <v>156</v>
      </c>
      <c r="T12" t="s">
        <v>130</v>
      </c>
      <c r="U12" t="s">
        <v>47</v>
      </c>
      <c r="V12" s="4">
        <v>45579</v>
      </c>
      <c r="W12" t="s">
        <v>1648</v>
      </c>
      <c r="X12" t="s">
        <v>1650</v>
      </c>
      <c r="Y12" t="s">
        <v>35</v>
      </c>
      <c r="Z12" t="s">
        <v>49</v>
      </c>
      <c r="AA12" t="s">
        <v>158</v>
      </c>
      <c r="AB12" s="4">
        <v>45591</v>
      </c>
      <c r="AC12" t="s">
        <v>1652</v>
      </c>
      <c r="AD12" t="s">
        <v>1653</v>
      </c>
      <c r="AE12" t="s">
        <v>52</v>
      </c>
    </row>
    <row r="13" spans="1:31" x14ac:dyDescent="0.3">
      <c r="A13" t="s">
        <v>160</v>
      </c>
      <c r="B13" s="4">
        <v>45569</v>
      </c>
      <c r="C13" t="s">
        <v>1646</v>
      </c>
      <c r="D13" t="s">
        <v>161</v>
      </c>
      <c r="E13" t="s">
        <v>26</v>
      </c>
      <c r="F13" t="s">
        <v>162</v>
      </c>
      <c r="G13" t="s">
        <v>28</v>
      </c>
      <c r="H13" t="s">
        <v>163</v>
      </c>
      <c r="I13">
        <v>999</v>
      </c>
      <c r="J13">
        <v>1</v>
      </c>
      <c r="K13" t="s">
        <v>1647</v>
      </c>
      <c r="L13">
        <v>999</v>
      </c>
      <c r="M13">
        <v>849.15</v>
      </c>
      <c r="N13" t="s">
        <v>69</v>
      </c>
      <c r="O13">
        <v>15</v>
      </c>
      <c r="P13">
        <v>149.85</v>
      </c>
      <c r="Q13" t="s">
        <v>30</v>
      </c>
      <c r="R13" t="s">
        <v>46</v>
      </c>
      <c r="S13" t="s">
        <v>164</v>
      </c>
      <c r="T13" t="s">
        <v>165</v>
      </c>
      <c r="U13" t="s">
        <v>47</v>
      </c>
      <c r="V13" s="4">
        <v>45577</v>
      </c>
      <c r="W13" t="s">
        <v>1648</v>
      </c>
      <c r="X13" t="s">
        <v>1650</v>
      </c>
      <c r="Y13" t="s">
        <v>35</v>
      </c>
      <c r="Z13" t="s">
        <v>36</v>
      </c>
      <c r="AB13" s="4"/>
      <c r="AC13" t="s">
        <v>1649</v>
      </c>
      <c r="AD13" t="s">
        <v>1651</v>
      </c>
      <c r="AE13" t="s">
        <v>37</v>
      </c>
    </row>
    <row r="14" spans="1:31" x14ac:dyDescent="0.3">
      <c r="A14" t="s">
        <v>167</v>
      </c>
      <c r="B14" s="4">
        <v>45569</v>
      </c>
      <c r="C14" t="s">
        <v>1646</v>
      </c>
      <c r="D14" t="s">
        <v>168</v>
      </c>
      <c r="E14" t="s">
        <v>26</v>
      </c>
      <c r="F14" t="s">
        <v>169</v>
      </c>
      <c r="G14" t="s">
        <v>42</v>
      </c>
      <c r="H14" t="s">
        <v>170</v>
      </c>
      <c r="I14">
        <v>2899</v>
      </c>
      <c r="J14">
        <v>1</v>
      </c>
      <c r="K14" t="s">
        <v>1647</v>
      </c>
      <c r="L14">
        <v>2899</v>
      </c>
      <c r="M14">
        <v>2899</v>
      </c>
      <c r="O14">
        <v>0</v>
      </c>
      <c r="P14">
        <v>0</v>
      </c>
      <c r="Q14" t="s">
        <v>45</v>
      </c>
      <c r="R14" t="s">
        <v>31</v>
      </c>
      <c r="S14" t="s">
        <v>171</v>
      </c>
      <c r="T14" t="s">
        <v>172</v>
      </c>
      <c r="U14" t="s">
        <v>32</v>
      </c>
      <c r="V14" s="4">
        <v>45579</v>
      </c>
      <c r="W14" t="s">
        <v>1648</v>
      </c>
      <c r="X14" t="s">
        <v>1650</v>
      </c>
      <c r="Y14" t="s">
        <v>35</v>
      </c>
      <c r="Z14" t="s">
        <v>36</v>
      </c>
      <c r="AB14" s="4"/>
      <c r="AC14" t="s">
        <v>1649</v>
      </c>
      <c r="AD14" t="s">
        <v>1651</v>
      </c>
      <c r="AE14" t="s">
        <v>37</v>
      </c>
    </row>
    <row r="15" spans="1:31" x14ac:dyDescent="0.3">
      <c r="A15" t="s">
        <v>173</v>
      </c>
      <c r="B15" s="4">
        <v>45569</v>
      </c>
      <c r="C15" t="s">
        <v>1646</v>
      </c>
      <c r="D15" t="s">
        <v>174</v>
      </c>
      <c r="E15" t="s">
        <v>40</v>
      </c>
      <c r="F15" t="s">
        <v>175</v>
      </c>
      <c r="G15" t="s">
        <v>58</v>
      </c>
      <c r="H15" t="s">
        <v>176</v>
      </c>
      <c r="I15">
        <v>1499</v>
      </c>
      <c r="J15">
        <v>2</v>
      </c>
      <c r="K15" t="s">
        <v>1647</v>
      </c>
      <c r="L15">
        <v>2998</v>
      </c>
      <c r="M15">
        <v>2998</v>
      </c>
      <c r="O15">
        <v>0</v>
      </c>
      <c r="P15">
        <v>0</v>
      </c>
      <c r="Q15" t="s">
        <v>128</v>
      </c>
      <c r="R15" t="s">
        <v>71</v>
      </c>
      <c r="S15" t="s">
        <v>177</v>
      </c>
      <c r="T15" t="s">
        <v>109</v>
      </c>
      <c r="U15" t="s">
        <v>32</v>
      </c>
      <c r="V15" s="4">
        <v>45578</v>
      </c>
      <c r="W15" t="s">
        <v>1648</v>
      </c>
      <c r="X15" t="s">
        <v>1650</v>
      </c>
      <c r="Y15" t="s">
        <v>35</v>
      </c>
      <c r="Z15" t="s">
        <v>49</v>
      </c>
      <c r="AA15" t="s">
        <v>50</v>
      </c>
      <c r="AB15" s="4">
        <v>45595</v>
      </c>
      <c r="AC15" t="s">
        <v>1652</v>
      </c>
      <c r="AD15" t="s">
        <v>1653</v>
      </c>
      <c r="AE15" t="s">
        <v>52</v>
      </c>
    </row>
    <row r="16" spans="1:31" x14ac:dyDescent="0.3">
      <c r="A16" t="s">
        <v>180</v>
      </c>
      <c r="B16" s="4">
        <v>45570</v>
      </c>
      <c r="C16" t="s">
        <v>1646</v>
      </c>
      <c r="D16" t="s">
        <v>181</v>
      </c>
      <c r="E16" t="s">
        <v>26</v>
      </c>
      <c r="F16" t="s">
        <v>182</v>
      </c>
      <c r="G16" t="s">
        <v>67</v>
      </c>
      <c r="H16" t="s">
        <v>183</v>
      </c>
      <c r="I16">
        <v>3999</v>
      </c>
      <c r="J16">
        <v>1</v>
      </c>
      <c r="K16" t="s">
        <v>1647</v>
      </c>
      <c r="L16">
        <v>3999</v>
      </c>
      <c r="M16">
        <v>3199.2</v>
      </c>
      <c r="N16" t="s">
        <v>44</v>
      </c>
      <c r="O16">
        <v>20</v>
      </c>
      <c r="P16">
        <v>799.8</v>
      </c>
      <c r="Q16" t="s">
        <v>60</v>
      </c>
      <c r="R16" t="s">
        <v>31</v>
      </c>
      <c r="S16" t="s">
        <v>184</v>
      </c>
      <c r="T16" t="s">
        <v>185</v>
      </c>
      <c r="U16" t="s">
        <v>47</v>
      </c>
      <c r="V16" s="4"/>
      <c r="W16" t="s">
        <v>1656</v>
      </c>
      <c r="X16" t="s">
        <v>1657</v>
      </c>
      <c r="Y16" t="s">
        <v>137</v>
      </c>
      <c r="Z16" t="s">
        <v>36</v>
      </c>
      <c r="AB16" s="4"/>
      <c r="AC16" t="s">
        <v>1656</v>
      </c>
      <c r="AD16" t="s">
        <v>1651</v>
      </c>
      <c r="AE16" t="s">
        <v>37</v>
      </c>
    </row>
    <row r="17" spans="1:31" x14ac:dyDescent="0.3">
      <c r="A17" t="s">
        <v>186</v>
      </c>
      <c r="B17" s="4">
        <v>45570</v>
      </c>
      <c r="C17" t="s">
        <v>1646</v>
      </c>
      <c r="D17" t="s">
        <v>187</v>
      </c>
      <c r="E17" t="s">
        <v>26</v>
      </c>
      <c r="F17" t="s">
        <v>188</v>
      </c>
      <c r="G17" t="s">
        <v>28</v>
      </c>
      <c r="H17" t="s">
        <v>189</v>
      </c>
      <c r="I17">
        <v>1699</v>
      </c>
      <c r="J17">
        <v>1</v>
      </c>
      <c r="K17" t="s">
        <v>1647</v>
      </c>
      <c r="L17">
        <v>1699</v>
      </c>
      <c r="M17">
        <v>1699</v>
      </c>
      <c r="O17">
        <v>0</v>
      </c>
      <c r="P17">
        <v>0</v>
      </c>
      <c r="Q17" t="s">
        <v>30</v>
      </c>
      <c r="R17" t="s">
        <v>46</v>
      </c>
      <c r="S17" t="s">
        <v>190</v>
      </c>
      <c r="T17" t="s">
        <v>172</v>
      </c>
      <c r="U17" t="s">
        <v>32</v>
      </c>
      <c r="V17" s="4">
        <v>45580</v>
      </c>
      <c r="W17" t="s">
        <v>1648</v>
      </c>
      <c r="X17" t="s">
        <v>1650</v>
      </c>
      <c r="Y17" t="s">
        <v>35</v>
      </c>
      <c r="Z17" t="s">
        <v>36</v>
      </c>
      <c r="AB17" s="4"/>
      <c r="AC17" t="s">
        <v>1649</v>
      </c>
      <c r="AD17" t="s">
        <v>1651</v>
      </c>
      <c r="AE17" t="s">
        <v>37</v>
      </c>
    </row>
    <row r="18" spans="1:31" x14ac:dyDescent="0.3">
      <c r="A18" t="s">
        <v>191</v>
      </c>
      <c r="B18" s="4">
        <v>45570</v>
      </c>
      <c r="C18" t="s">
        <v>1646</v>
      </c>
      <c r="D18" t="s">
        <v>192</v>
      </c>
      <c r="E18" t="s">
        <v>40</v>
      </c>
      <c r="F18" t="s">
        <v>193</v>
      </c>
      <c r="G18" t="s">
        <v>42</v>
      </c>
      <c r="H18" t="s">
        <v>194</v>
      </c>
      <c r="I18">
        <v>2399</v>
      </c>
      <c r="J18">
        <v>1</v>
      </c>
      <c r="K18" t="s">
        <v>1647</v>
      </c>
      <c r="L18">
        <v>2399</v>
      </c>
      <c r="M18">
        <v>2399</v>
      </c>
      <c r="O18">
        <v>0</v>
      </c>
      <c r="P18">
        <v>0</v>
      </c>
      <c r="Q18" t="s">
        <v>45</v>
      </c>
      <c r="R18" t="s">
        <v>31</v>
      </c>
      <c r="S18" t="s">
        <v>195</v>
      </c>
      <c r="T18" t="s">
        <v>33</v>
      </c>
      <c r="U18" t="s">
        <v>32</v>
      </c>
      <c r="V18" s="4">
        <v>45581</v>
      </c>
      <c r="W18" t="s">
        <v>1648</v>
      </c>
      <c r="X18" t="s">
        <v>1650</v>
      </c>
      <c r="Y18" t="s">
        <v>35</v>
      </c>
      <c r="Z18" t="s">
        <v>49</v>
      </c>
      <c r="AA18" t="s">
        <v>75</v>
      </c>
      <c r="AB18" s="4">
        <v>45598</v>
      </c>
      <c r="AC18" t="s">
        <v>1652</v>
      </c>
      <c r="AD18" t="s">
        <v>1653</v>
      </c>
      <c r="AE18" t="s">
        <v>52</v>
      </c>
    </row>
    <row r="19" spans="1:31" x14ac:dyDescent="0.3">
      <c r="A19" t="s">
        <v>198</v>
      </c>
      <c r="B19" s="4">
        <v>45570</v>
      </c>
      <c r="C19" t="s">
        <v>1646</v>
      </c>
      <c r="D19" t="s">
        <v>199</v>
      </c>
      <c r="E19" t="s">
        <v>26</v>
      </c>
      <c r="F19" t="s">
        <v>200</v>
      </c>
      <c r="G19" t="s">
        <v>79</v>
      </c>
      <c r="H19" t="s">
        <v>201</v>
      </c>
      <c r="I19">
        <v>899</v>
      </c>
      <c r="J19">
        <v>1</v>
      </c>
      <c r="K19" t="s">
        <v>1647</v>
      </c>
      <c r="L19">
        <v>899</v>
      </c>
      <c r="M19">
        <v>809.1</v>
      </c>
      <c r="N19" t="s">
        <v>127</v>
      </c>
      <c r="O19">
        <v>10</v>
      </c>
      <c r="P19">
        <v>89.9</v>
      </c>
      <c r="Q19" t="s">
        <v>70</v>
      </c>
      <c r="R19" t="s">
        <v>46</v>
      </c>
      <c r="S19" t="s">
        <v>202</v>
      </c>
      <c r="T19" t="s">
        <v>73</v>
      </c>
      <c r="U19" t="s">
        <v>61</v>
      </c>
      <c r="V19" s="4">
        <v>45582</v>
      </c>
      <c r="W19" t="s">
        <v>1648</v>
      </c>
      <c r="X19" t="s">
        <v>1650</v>
      </c>
      <c r="Y19" t="s">
        <v>35</v>
      </c>
      <c r="Z19" t="s">
        <v>36</v>
      </c>
      <c r="AB19" s="4"/>
      <c r="AC19" t="s">
        <v>1649</v>
      </c>
      <c r="AD19" t="s">
        <v>1651</v>
      </c>
      <c r="AE19" t="s">
        <v>37</v>
      </c>
    </row>
    <row r="20" spans="1:31" x14ac:dyDescent="0.3">
      <c r="A20" t="s">
        <v>204</v>
      </c>
      <c r="B20" s="4">
        <v>45571</v>
      </c>
      <c r="C20" t="s">
        <v>1646</v>
      </c>
      <c r="D20" t="s">
        <v>205</v>
      </c>
      <c r="E20" t="s">
        <v>26</v>
      </c>
      <c r="F20" t="s">
        <v>206</v>
      </c>
      <c r="G20" t="s">
        <v>58</v>
      </c>
      <c r="H20" t="s">
        <v>207</v>
      </c>
      <c r="I20">
        <v>1199</v>
      </c>
      <c r="J20">
        <v>3</v>
      </c>
      <c r="K20" t="s">
        <v>1647</v>
      </c>
      <c r="L20">
        <v>3597</v>
      </c>
      <c r="M20">
        <v>3597</v>
      </c>
      <c r="O20">
        <v>0</v>
      </c>
      <c r="P20">
        <v>0</v>
      </c>
      <c r="Q20" t="s">
        <v>60</v>
      </c>
      <c r="R20" t="s">
        <v>71</v>
      </c>
      <c r="S20" t="s">
        <v>208</v>
      </c>
      <c r="T20" t="s">
        <v>209</v>
      </c>
      <c r="U20" t="s">
        <v>61</v>
      </c>
      <c r="V20" s="4">
        <v>45583</v>
      </c>
      <c r="W20" t="s">
        <v>1648</v>
      </c>
      <c r="X20" t="s">
        <v>1650</v>
      </c>
      <c r="Y20" t="s">
        <v>35</v>
      </c>
      <c r="Z20" t="s">
        <v>49</v>
      </c>
      <c r="AA20" t="s">
        <v>89</v>
      </c>
      <c r="AB20" s="4">
        <v>45601</v>
      </c>
      <c r="AC20" t="s">
        <v>1652</v>
      </c>
      <c r="AD20" t="s">
        <v>1653</v>
      </c>
      <c r="AE20" t="s">
        <v>52</v>
      </c>
    </row>
    <row r="21" spans="1:31" x14ac:dyDescent="0.3">
      <c r="A21" t="s">
        <v>211</v>
      </c>
      <c r="B21" s="4">
        <v>45571</v>
      </c>
      <c r="C21" t="s">
        <v>1646</v>
      </c>
      <c r="D21" t="s">
        <v>212</v>
      </c>
      <c r="E21" t="s">
        <v>26</v>
      </c>
      <c r="F21" t="s">
        <v>213</v>
      </c>
      <c r="G21" t="s">
        <v>28</v>
      </c>
      <c r="H21" t="s">
        <v>214</v>
      </c>
      <c r="I21">
        <v>1799</v>
      </c>
      <c r="J21">
        <v>2</v>
      </c>
      <c r="K21" t="s">
        <v>1647</v>
      </c>
      <c r="L21">
        <v>3598</v>
      </c>
      <c r="M21">
        <v>3598</v>
      </c>
      <c r="O21">
        <v>0</v>
      </c>
      <c r="P21">
        <v>0</v>
      </c>
      <c r="Q21" t="s">
        <v>30</v>
      </c>
      <c r="R21" t="s">
        <v>31</v>
      </c>
      <c r="S21" t="s">
        <v>215</v>
      </c>
      <c r="T21" t="s">
        <v>216</v>
      </c>
      <c r="U21" t="s">
        <v>61</v>
      </c>
      <c r="V21" s="4">
        <v>45582</v>
      </c>
      <c r="W21" t="s">
        <v>1648</v>
      </c>
      <c r="X21" t="s">
        <v>1650</v>
      </c>
      <c r="Y21" t="s">
        <v>35</v>
      </c>
      <c r="Z21" t="s">
        <v>36</v>
      </c>
      <c r="AB21" s="4"/>
      <c r="AC21" t="s">
        <v>1649</v>
      </c>
      <c r="AD21" t="s">
        <v>1651</v>
      </c>
      <c r="AE21" t="s">
        <v>37</v>
      </c>
    </row>
    <row r="22" spans="1:31" x14ac:dyDescent="0.3">
      <c r="A22" t="s">
        <v>217</v>
      </c>
      <c r="B22" s="4">
        <v>45571</v>
      </c>
      <c r="C22" t="s">
        <v>1646</v>
      </c>
      <c r="D22" t="s">
        <v>218</v>
      </c>
      <c r="E22" t="s">
        <v>26</v>
      </c>
      <c r="F22" t="s">
        <v>219</v>
      </c>
      <c r="G22" t="s">
        <v>42</v>
      </c>
      <c r="H22" t="s">
        <v>220</v>
      </c>
      <c r="I22">
        <v>2699</v>
      </c>
      <c r="J22">
        <v>1</v>
      </c>
      <c r="K22" t="s">
        <v>1647</v>
      </c>
      <c r="L22">
        <v>2699</v>
      </c>
      <c r="M22">
        <v>2699</v>
      </c>
      <c r="O22">
        <v>0</v>
      </c>
      <c r="P22">
        <v>0</v>
      </c>
      <c r="Q22" t="s">
        <v>45</v>
      </c>
      <c r="R22" t="s">
        <v>46</v>
      </c>
      <c r="S22" t="s">
        <v>221</v>
      </c>
      <c r="T22" t="s">
        <v>209</v>
      </c>
      <c r="U22" t="s">
        <v>61</v>
      </c>
      <c r="V22" s="4">
        <v>45583</v>
      </c>
      <c r="W22" t="s">
        <v>1648</v>
      </c>
      <c r="X22" t="s">
        <v>1650</v>
      </c>
      <c r="Y22" t="s">
        <v>35</v>
      </c>
      <c r="Z22" t="s">
        <v>36</v>
      </c>
      <c r="AB22" s="4"/>
      <c r="AC22" t="s">
        <v>1649</v>
      </c>
      <c r="AD22" t="s">
        <v>1651</v>
      </c>
      <c r="AE22" t="s">
        <v>37</v>
      </c>
    </row>
    <row r="23" spans="1:31" x14ac:dyDescent="0.3">
      <c r="A23" t="s">
        <v>222</v>
      </c>
      <c r="B23" s="4">
        <v>45571</v>
      </c>
      <c r="C23" t="s">
        <v>1646</v>
      </c>
      <c r="D23" t="s">
        <v>223</v>
      </c>
      <c r="E23" t="s">
        <v>40</v>
      </c>
      <c r="F23" t="s">
        <v>224</v>
      </c>
      <c r="G23" t="s">
        <v>67</v>
      </c>
      <c r="H23" t="s">
        <v>225</v>
      </c>
      <c r="I23">
        <v>4599</v>
      </c>
      <c r="J23">
        <v>1</v>
      </c>
      <c r="K23" t="s">
        <v>1647</v>
      </c>
      <c r="L23">
        <v>4599</v>
      </c>
      <c r="M23">
        <v>4139.1000000000004</v>
      </c>
      <c r="N23" t="s">
        <v>127</v>
      </c>
      <c r="O23">
        <v>10</v>
      </c>
      <c r="P23">
        <v>459.9</v>
      </c>
      <c r="Q23" t="s">
        <v>70</v>
      </c>
      <c r="R23" t="s">
        <v>31</v>
      </c>
      <c r="S23" t="s">
        <v>226</v>
      </c>
      <c r="T23" t="s">
        <v>62</v>
      </c>
      <c r="U23" t="s">
        <v>61</v>
      </c>
      <c r="V23" s="4">
        <v>45584</v>
      </c>
      <c r="W23" t="s">
        <v>1648</v>
      </c>
      <c r="X23" t="s">
        <v>1650</v>
      </c>
      <c r="Y23" t="s">
        <v>35</v>
      </c>
      <c r="Z23" t="s">
        <v>49</v>
      </c>
      <c r="AA23" t="s">
        <v>50</v>
      </c>
      <c r="AB23" s="4">
        <v>45604</v>
      </c>
      <c r="AC23" t="s">
        <v>1652</v>
      </c>
      <c r="AD23" t="s">
        <v>1653</v>
      </c>
      <c r="AE23" t="s">
        <v>52</v>
      </c>
    </row>
    <row r="24" spans="1:31" x14ac:dyDescent="0.3">
      <c r="A24" t="s">
        <v>229</v>
      </c>
      <c r="B24" s="4">
        <v>45572</v>
      </c>
      <c r="C24" t="s">
        <v>1646</v>
      </c>
      <c r="D24" t="s">
        <v>230</v>
      </c>
      <c r="E24" t="s">
        <v>26</v>
      </c>
      <c r="F24" t="s">
        <v>231</v>
      </c>
      <c r="G24" t="s">
        <v>79</v>
      </c>
      <c r="H24" t="s">
        <v>232</v>
      </c>
      <c r="I24">
        <v>1099</v>
      </c>
      <c r="J24">
        <v>1</v>
      </c>
      <c r="K24" t="s">
        <v>1647</v>
      </c>
      <c r="L24">
        <v>1099</v>
      </c>
      <c r="M24">
        <v>1099</v>
      </c>
      <c r="O24">
        <v>0</v>
      </c>
      <c r="P24">
        <v>0</v>
      </c>
      <c r="Q24" t="s">
        <v>30</v>
      </c>
      <c r="R24" t="s">
        <v>71</v>
      </c>
      <c r="S24" t="s">
        <v>233</v>
      </c>
      <c r="T24" t="s">
        <v>109</v>
      </c>
      <c r="U24" t="s">
        <v>32</v>
      </c>
      <c r="V24" s="4">
        <v>45585</v>
      </c>
      <c r="W24" t="s">
        <v>1648</v>
      </c>
      <c r="X24" t="s">
        <v>1650</v>
      </c>
      <c r="Y24" t="s">
        <v>35</v>
      </c>
      <c r="Z24" t="s">
        <v>36</v>
      </c>
      <c r="AB24" s="4"/>
      <c r="AC24" t="s">
        <v>1649</v>
      </c>
      <c r="AD24" t="s">
        <v>1651</v>
      </c>
      <c r="AE24" t="s">
        <v>37</v>
      </c>
    </row>
    <row r="25" spans="1:31" x14ac:dyDescent="0.3">
      <c r="A25" t="s">
        <v>234</v>
      </c>
      <c r="B25" s="4">
        <v>45572</v>
      </c>
      <c r="C25" t="s">
        <v>1646</v>
      </c>
      <c r="D25" t="s">
        <v>235</v>
      </c>
      <c r="E25" t="s">
        <v>26</v>
      </c>
      <c r="F25" t="s">
        <v>236</v>
      </c>
      <c r="G25" t="s">
        <v>28</v>
      </c>
      <c r="H25" t="s">
        <v>237</v>
      </c>
      <c r="I25">
        <v>1899</v>
      </c>
      <c r="J25">
        <v>1</v>
      </c>
      <c r="K25" t="s">
        <v>1647</v>
      </c>
      <c r="L25">
        <v>1899</v>
      </c>
      <c r="M25">
        <v>1899</v>
      </c>
      <c r="O25">
        <v>0</v>
      </c>
      <c r="P25">
        <v>0</v>
      </c>
      <c r="Q25" t="s">
        <v>60</v>
      </c>
      <c r="R25" t="s">
        <v>46</v>
      </c>
      <c r="S25" t="s">
        <v>238</v>
      </c>
      <c r="T25" t="s">
        <v>109</v>
      </c>
      <c r="U25" t="s">
        <v>32</v>
      </c>
      <c r="V25" s="4"/>
      <c r="W25" t="s">
        <v>1656</v>
      </c>
      <c r="X25" t="s">
        <v>1657</v>
      </c>
      <c r="Y25" t="s">
        <v>137</v>
      </c>
      <c r="Z25" t="s">
        <v>36</v>
      </c>
      <c r="AB25" s="4"/>
      <c r="AC25" t="s">
        <v>1656</v>
      </c>
      <c r="AD25" t="s">
        <v>1651</v>
      </c>
      <c r="AE25" t="s">
        <v>37</v>
      </c>
    </row>
    <row r="26" spans="1:31" x14ac:dyDescent="0.3">
      <c r="A26" t="s">
        <v>239</v>
      </c>
      <c r="B26" s="4">
        <v>45572</v>
      </c>
      <c r="C26" t="s">
        <v>1646</v>
      </c>
      <c r="D26" t="s">
        <v>240</v>
      </c>
      <c r="E26" t="s">
        <v>26</v>
      </c>
      <c r="F26" t="s">
        <v>241</v>
      </c>
      <c r="G26" t="s">
        <v>58</v>
      </c>
      <c r="H26" t="s">
        <v>242</v>
      </c>
      <c r="I26">
        <v>2199</v>
      </c>
      <c r="J26">
        <v>1</v>
      </c>
      <c r="K26" t="s">
        <v>1647</v>
      </c>
      <c r="L26">
        <v>2199</v>
      </c>
      <c r="M26">
        <v>1759.2</v>
      </c>
      <c r="N26" t="s">
        <v>44</v>
      </c>
      <c r="O26">
        <v>20</v>
      </c>
      <c r="P26">
        <v>439.8</v>
      </c>
      <c r="Q26" t="s">
        <v>45</v>
      </c>
      <c r="R26" t="s">
        <v>31</v>
      </c>
      <c r="S26" t="s">
        <v>243</v>
      </c>
      <c r="T26" t="s">
        <v>130</v>
      </c>
      <c r="U26" t="s">
        <v>47</v>
      </c>
      <c r="V26" s="4">
        <v>45585</v>
      </c>
      <c r="W26" t="s">
        <v>1648</v>
      </c>
      <c r="X26" t="s">
        <v>1650</v>
      </c>
      <c r="Y26" t="s">
        <v>35</v>
      </c>
      <c r="Z26" t="s">
        <v>36</v>
      </c>
      <c r="AB26" s="4"/>
      <c r="AC26" t="s">
        <v>1649</v>
      </c>
      <c r="AD26" t="s">
        <v>1651</v>
      </c>
      <c r="AE26" t="s">
        <v>37</v>
      </c>
    </row>
    <row r="27" spans="1:31" x14ac:dyDescent="0.3">
      <c r="A27" t="s">
        <v>244</v>
      </c>
      <c r="B27" s="4">
        <v>45572</v>
      </c>
      <c r="C27" t="s">
        <v>1646</v>
      </c>
      <c r="D27" t="s">
        <v>245</v>
      </c>
      <c r="E27" t="s">
        <v>40</v>
      </c>
      <c r="F27" t="s">
        <v>246</v>
      </c>
      <c r="G27" t="s">
        <v>42</v>
      </c>
      <c r="H27" t="s">
        <v>247</v>
      </c>
      <c r="I27">
        <v>5499</v>
      </c>
      <c r="J27">
        <v>1</v>
      </c>
      <c r="K27" t="s">
        <v>1647</v>
      </c>
      <c r="L27">
        <v>5499</v>
      </c>
      <c r="M27">
        <v>5499</v>
      </c>
      <c r="O27">
        <v>0</v>
      </c>
      <c r="P27">
        <v>0</v>
      </c>
      <c r="Q27" t="s">
        <v>45</v>
      </c>
      <c r="R27" t="s">
        <v>46</v>
      </c>
      <c r="S27" t="s">
        <v>32</v>
      </c>
      <c r="T27" t="s">
        <v>33</v>
      </c>
      <c r="U27" t="s">
        <v>32</v>
      </c>
      <c r="V27" s="4">
        <v>45586</v>
      </c>
      <c r="W27" t="s">
        <v>1648</v>
      </c>
      <c r="X27" t="s">
        <v>1650</v>
      </c>
      <c r="Y27" t="s">
        <v>35</v>
      </c>
      <c r="Z27" t="s">
        <v>49</v>
      </c>
      <c r="AA27" t="s">
        <v>50</v>
      </c>
      <c r="AB27" s="4">
        <v>45606</v>
      </c>
      <c r="AC27" t="s">
        <v>1652</v>
      </c>
      <c r="AD27" t="s">
        <v>1653</v>
      </c>
      <c r="AE27" t="s">
        <v>52</v>
      </c>
    </row>
    <row r="28" spans="1:31" x14ac:dyDescent="0.3">
      <c r="A28" t="s">
        <v>250</v>
      </c>
      <c r="B28" s="4">
        <v>45573</v>
      </c>
      <c r="C28" t="s">
        <v>1646</v>
      </c>
      <c r="D28" t="s">
        <v>251</v>
      </c>
      <c r="E28" t="s">
        <v>26</v>
      </c>
      <c r="F28" t="s">
        <v>252</v>
      </c>
      <c r="G28" t="s">
        <v>28</v>
      </c>
      <c r="H28" t="s">
        <v>253</v>
      </c>
      <c r="I28">
        <v>899</v>
      </c>
      <c r="J28">
        <v>2</v>
      </c>
      <c r="K28" t="s">
        <v>1647</v>
      </c>
      <c r="L28">
        <v>1798</v>
      </c>
      <c r="M28">
        <v>1798</v>
      </c>
      <c r="O28">
        <v>0</v>
      </c>
      <c r="P28">
        <v>0</v>
      </c>
      <c r="Q28" t="s">
        <v>30</v>
      </c>
      <c r="R28" t="s">
        <v>31</v>
      </c>
      <c r="S28" t="s">
        <v>47</v>
      </c>
      <c r="T28" t="s">
        <v>47</v>
      </c>
      <c r="U28" t="s">
        <v>47</v>
      </c>
      <c r="V28" s="4">
        <v>45579</v>
      </c>
      <c r="W28" t="s">
        <v>1648</v>
      </c>
      <c r="X28" t="s">
        <v>1650</v>
      </c>
      <c r="Y28" t="s">
        <v>35</v>
      </c>
      <c r="Z28" t="s">
        <v>36</v>
      </c>
      <c r="AB28" s="4"/>
      <c r="AC28" t="s">
        <v>1649</v>
      </c>
      <c r="AD28" t="s">
        <v>1651</v>
      </c>
      <c r="AE28" t="s">
        <v>37</v>
      </c>
    </row>
    <row r="29" spans="1:31" x14ac:dyDescent="0.3">
      <c r="A29" t="s">
        <v>254</v>
      </c>
      <c r="B29" s="4">
        <v>45573</v>
      </c>
      <c r="C29" t="s">
        <v>1646</v>
      </c>
      <c r="D29" t="s">
        <v>255</v>
      </c>
      <c r="E29" t="s">
        <v>26</v>
      </c>
      <c r="F29" t="s">
        <v>256</v>
      </c>
      <c r="G29" t="s">
        <v>67</v>
      </c>
      <c r="H29" t="s">
        <v>257</v>
      </c>
      <c r="I29">
        <v>6999</v>
      </c>
      <c r="J29">
        <v>1</v>
      </c>
      <c r="K29" t="s">
        <v>1647</v>
      </c>
      <c r="L29">
        <v>6999</v>
      </c>
      <c r="M29">
        <v>5949.15</v>
      </c>
      <c r="N29" t="s">
        <v>69</v>
      </c>
      <c r="O29">
        <v>15</v>
      </c>
      <c r="P29">
        <v>1049.8499999999999</v>
      </c>
      <c r="Q29" t="s">
        <v>70</v>
      </c>
      <c r="R29" t="s">
        <v>71</v>
      </c>
      <c r="S29" t="s">
        <v>101</v>
      </c>
      <c r="T29" t="s">
        <v>102</v>
      </c>
      <c r="U29" t="s">
        <v>47</v>
      </c>
      <c r="V29" s="4">
        <v>45581</v>
      </c>
      <c r="W29" t="s">
        <v>1648</v>
      </c>
      <c r="X29" t="s">
        <v>1650</v>
      </c>
      <c r="Y29" t="s">
        <v>35</v>
      </c>
      <c r="Z29" t="s">
        <v>49</v>
      </c>
      <c r="AA29" t="s">
        <v>75</v>
      </c>
      <c r="AB29" s="4">
        <v>45601</v>
      </c>
      <c r="AC29" t="s">
        <v>1652</v>
      </c>
      <c r="AD29" t="s">
        <v>1653</v>
      </c>
      <c r="AE29" t="s">
        <v>52</v>
      </c>
    </row>
    <row r="30" spans="1:31" x14ac:dyDescent="0.3">
      <c r="A30" t="s">
        <v>258</v>
      </c>
      <c r="B30" s="4">
        <v>45573</v>
      </c>
      <c r="C30" t="s">
        <v>1646</v>
      </c>
      <c r="D30" t="s">
        <v>259</v>
      </c>
      <c r="E30" t="s">
        <v>40</v>
      </c>
      <c r="F30" t="s">
        <v>260</v>
      </c>
      <c r="G30" t="s">
        <v>79</v>
      </c>
      <c r="H30" t="s">
        <v>261</v>
      </c>
      <c r="I30">
        <v>2999</v>
      </c>
      <c r="J30">
        <v>1</v>
      </c>
      <c r="K30" t="s">
        <v>1647</v>
      </c>
      <c r="L30">
        <v>2999</v>
      </c>
      <c r="M30">
        <v>2999</v>
      </c>
      <c r="O30">
        <v>0</v>
      </c>
      <c r="P30">
        <v>0</v>
      </c>
      <c r="Q30" t="s">
        <v>45</v>
      </c>
      <c r="R30" t="s">
        <v>46</v>
      </c>
      <c r="S30" t="s">
        <v>72</v>
      </c>
      <c r="T30" t="s">
        <v>73</v>
      </c>
      <c r="U30" t="s">
        <v>61</v>
      </c>
      <c r="V30" s="4">
        <v>45580</v>
      </c>
      <c r="W30" t="s">
        <v>1648</v>
      </c>
      <c r="X30" t="s">
        <v>1650</v>
      </c>
      <c r="Y30" t="s">
        <v>35</v>
      </c>
      <c r="Z30" t="s">
        <v>36</v>
      </c>
      <c r="AB30" s="4"/>
      <c r="AC30" t="s">
        <v>1649</v>
      </c>
      <c r="AD30" t="s">
        <v>1651</v>
      </c>
      <c r="AE30" t="s">
        <v>37</v>
      </c>
    </row>
    <row r="31" spans="1:31" x14ac:dyDescent="0.3">
      <c r="A31" t="s">
        <v>262</v>
      </c>
      <c r="B31" s="4">
        <v>45573</v>
      </c>
      <c r="C31" t="s">
        <v>1646</v>
      </c>
      <c r="D31" t="s">
        <v>263</v>
      </c>
      <c r="E31" t="s">
        <v>26</v>
      </c>
      <c r="F31" t="s">
        <v>264</v>
      </c>
      <c r="G31" t="s">
        <v>58</v>
      </c>
      <c r="H31" t="s">
        <v>265</v>
      </c>
      <c r="I31">
        <v>1599</v>
      </c>
      <c r="J31">
        <v>1</v>
      </c>
      <c r="K31" t="s">
        <v>1647</v>
      </c>
      <c r="L31">
        <v>1599</v>
      </c>
      <c r="M31">
        <v>1599</v>
      </c>
      <c r="O31">
        <v>0</v>
      </c>
      <c r="P31">
        <v>0</v>
      </c>
      <c r="Q31" t="s">
        <v>60</v>
      </c>
      <c r="R31" t="s">
        <v>31</v>
      </c>
      <c r="S31" t="s">
        <v>86</v>
      </c>
      <c r="T31" t="s">
        <v>87</v>
      </c>
      <c r="U31" t="s">
        <v>61</v>
      </c>
      <c r="V31" s="4">
        <v>45582</v>
      </c>
      <c r="W31" t="s">
        <v>1648</v>
      </c>
      <c r="X31" t="s">
        <v>1650</v>
      </c>
      <c r="Y31" t="s">
        <v>35</v>
      </c>
      <c r="Z31" t="s">
        <v>49</v>
      </c>
      <c r="AA31" t="s">
        <v>50</v>
      </c>
      <c r="AB31" s="4">
        <v>45604</v>
      </c>
      <c r="AC31" t="s">
        <v>1652</v>
      </c>
      <c r="AD31" t="s">
        <v>1653</v>
      </c>
      <c r="AE31" t="s">
        <v>52</v>
      </c>
    </row>
    <row r="32" spans="1:31" x14ac:dyDescent="0.3">
      <c r="A32" t="s">
        <v>266</v>
      </c>
      <c r="B32" s="4">
        <v>45574</v>
      </c>
      <c r="C32" t="s">
        <v>1646</v>
      </c>
      <c r="D32" t="s">
        <v>267</v>
      </c>
      <c r="E32" t="s">
        <v>26</v>
      </c>
      <c r="F32" t="s">
        <v>268</v>
      </c>
      <c r="G32" t="s">
        <v>42</v>
      </c>
      <c r="H32" t="s">
        <v>269</v>
      </c>
      <c r="I32">
        <v>1999</v>
      </c>
      <c r="J32">
        <v>1</v>
      </c>
      <c r="K32" t="s">
        <v>1647</v>
      </c>
      <c r="L32">
        <v>1999</v>
      </c>
      <c r="M32">
        <v>1599.2</v>
      </c>
      <c r="N32" t="s">
        <v>44</v>
      </c>
      <c r="O32">
        <v>20</v>
      </c>
      <c r="P32">
        <v>399.8</v>
      </c>
      <c r="Q32" t="s">
        <v>128</v>
      </c>
      <c r="R32" t="s">
        <v>46</v>
      </c>
      <c r="S32" t="s">
        <v>95</v>
      </c>
      <c r="T32" t="s">
        <v>33</v>
      </c>
      <c r="U32" t="s">
        <v>32</v>
      </c>
      <c r="V32" s="4">
        <v>45581</v>
      </c>
      <c r="W32" t="s">
        <v>1648</v>
      </c>
      <c r="X32" t="s">
        <v>1650</v>
      </c>
      <c r="Y32" t="s">
        <v>35</v>
      </c>
      <c r="Z32" t="s">
        <v>36</v>
      </c>
      <c r="AB32" s="4"/>
      <c r="AC32" t="s">
        <v>1649</v>
      </c>
      <c r="AD32" t="s">
        <v>1651</v>
      </c>
      <c r="AE32" t="s">
        <v>37</v>
      </c>
    </row>
    <row r="33" spans="1:31" x14ac:dyDescent="0.3">
      <c r="A33" t="s">
        <v>270</v>
      </c>
      <c r="B33" s="4">
        <v>45574</v>
      </c>
      <c r="C33" t="s">
        <v>1646</v>
      </c>
      <c r="D33" t="s">
        <v>271</v>
      </c>
      <c r="E33" t="s">
        <v>26</v>
      </c>
      <c r="F33" t="s">
        <v>272</v>
      </c>
      <c r="G33" t="s">
        <v>28</v>
      </c>
      <c r="H33" t="s">
        <v>273</v>
      </c>
      <c r="I33">
        <v>1799</v>
      </c>
      <c r="J33">
        <v>1</v>
      </c>
      <c r="K33" t="s">
        <v>1647</v>
      </c>
      <c r="L33">
        <v>1799</v>
      </c>
      <c r="M33">
        <v>1799</v>
      </c>
      <c r="O33">
        <v>0</v>
      </c>
      <c r="P33">
        <v>0</v>
      </c>
      <c r="Q33" t="s">
        <v>30</v>
      </c>
      <c r="R33" t="s">
        <v>71</v>
      </c>
      <c r="S33" t="s">
        <v>108</v>
      </c>
      <c r="T33" t="s">
        <v>109</v>
      </c>
      <c r="U33" t="s">
        <v>32</v>
      </c>
      <c r="V33" s="4">
        <v>45582</v>
      </c>
      <c r="W33" t="s">
        <v>1648</v>
      </c>
      <c r="X33" t="s">
        <v>1650</v>
      </c>
      <c r="Y33" t="s">
        <v>35</v>
      </c>
      <c r="Z33" t="s">
        <v>49</v>
      </c>
      <c r="AA33" t="s">
        <v>89</v>
      </c>
      <c r="AB33" s="4">
        <v>45608</v>
      </c>
      <c r="AC33" t="s">
        <v>1652</v>
      </c>
      <c r="AD33" t="s">
        <v>1653</v>
      </c>
      <c r="AE33" t="s">
        <v>52</v>
      </c>
    </row>
    <row r="34" spans="1:31" x14ac:dyDescent="0.3">
      <c r="A34" t="s">
        <v>275</v>
      </c>
      <c r="B34" s="4">
        <v>45574</v>
      </c>
      <c r="C34" t="s">
        <v>1646</v>
      </c>
      <c r="D34" t="s">
        <v>276</v>
      </c>
      <c r="E34" t="s">
        <v>40</v>
      </c>
      <c r="F34" t="s">
        <v>277</v>
      </c>
      <c r="G34" t="s">
        <v>67</v>
      </c>
      <c r="H34" t="s">
        <v>278</v>
      </c>
      <c r="I34">
        <v>7999</v>
      </c>
      <c r="J34">
        <v>1</v>
      </c>
      <c r="K34" t="s">
        <v>1647</v>
      </c>
      <c r="L34">
        <v>7999</v>
      </c>
      <c r="M34">
        <v>7999</v>
      </c>
      <c r="O34">
        <v>0</v>
      </c>
      <c r="P34">
        <v>0</v>
      </c>
      <c r="Q34" t="s">
        <v>45</v>
      </c>
      <c r="R34" t="s">
        <v>31</v>
      </c>
      <c r="S34" t="s">
        <v>116</v>
      </c>
      <c r="T34" t="s">
        <v>117</v>
      </c>
      <c r="U34" t="s">
        <v>47</v>
      </c>
      <c r="V34" s="4">
        <v>45583</v>
      </c>
      <c r="W34" t="s">
        <v>1648</v>
      </c>
      <c r="X34" t="s">
        <v>1650</v>
      </c>
      <c r="Y34" t="s">
        <v>35</v>
      </c>
      <c r="Z34" t="s">
        <v>36</v>
      </c>
      <c r="AB34" s="4"/>
      <c r="AC34" t="s">
        <v>1649</v>
      </c>
      <c r="AD34" t="s">
        <v>1651</v>
      </c>
      <c r="AE34" t="s">
        <v>37</v>
      </c>
    </row>
    <row r="35" spans="1:31" x14ac:dyDescent="0.3">
      <c r="A35" t="s">
        <v>279</v>
      </c>
      <c r="B35" s="4">
        <v>45574</v>
      </c>
      <c r="C35" t="s">
        <v>1646</v>
      </c>
      <c r="D35" t="s">
        <v>280</v>
      </c>
      <c r="E35" t="s">
        <v>26</v>
      </c>
      <c r="F35" t="s">
        <v>281</v>
      </c>
      <c r="G35" t="s">
        <v>79</v>
      </c>
      <c r="H35" t="s">
        <v>282</v>
      </c>
      <c r="I35">
        <v>1499</v>
      </c>
      <c r="J35">
        <v>1</v>
      </c>
      <c r="K35" t="s">
        <v>1647</v>
      </c>
      <c r="L35">
        <v>1499</v>
      </c>
      <c r="M35">
        <v>1349.1</v>
      </c>
      <c r="N35" t="s">
        <v>127</v>
      </c>
      <c r="O35">
        <v>10</v>
      </c>
      <c r="P35">
        <v>149.9</v>
      </c>
      <c r="Q35" t="s">
        <v>70</v>
      </c>
      <c r="R35" t="s">
        <v>46</v>
      </c>
      <c r="S35" t="s">
        <v>129</v>
      </c>
      <c r="T35" t="s">
        <v>130</v>
      </c>
      <c r="U35" t="s">
        <v>47</v>
      </c>
      <c r="V35" s="4">
        <v>45582</v>
      </c>
      <c r="W35" t="s">
        <v>1648</v>
      </c>
      <c r="X35" t="s">
        <v>1650</v>
      </c>
      <c r="Y35" t="s">
        <v>35</v>
      </c>
      <c r="Z35" t="s">
        <v>36</v>
      </c>
      <c r="AB35" s="4"/>
      <c r="AC35" t="s">
        <v>1649</v>
      </c>
      <c r="AD35" t="s">
        <v>1651</v>
      </c>
      <c r="AE35" t="s">
        <v>37</v>
      </c>
    </row>
    <row r="36" spans="1:31" x14ac:dyDescent="0.3">
      <c r="A36" t="s">
        <v>283</v>
      </c>
      <c r="B36" s="4">
        <v>45575</v>
      </c>
      <c r="C36" t="s">
        <v>1646</v>
      </c>
      <c r="D36" t="s">
        <v>284</v>
      </c>
      <c r="E36" t="s">
        <v>26</v>
      </c>
      <c r="F36" t="s">
        <v>285</v>
      </c>
      <c r="G36" t="s">
        <v>58</v>
      </c>
      <c r="H36" t="s">
        <v>286</v>
      </c>
      <c r="I36">
        <v>1699</v>
      </c>
      <c r="J36">
        <v>1</v>
      </c>
      <c r="K36" t="s">
        <v>1647</v>
      </c>
      <c r="L36">
        <v>1699</v>
      </c>
      <c r="M36">
        <v>1699</v>
      </c>
      <c r="O36">
        <v>0</v>
      </c>
      <c r="P36">
        <v>0</v>
      </c>
      <c r="Q36" t="s">
        <v>60</v>
      </c>
      <c r="R36" t="s">
        <v>31</v>
      </c>
      <c r="S36" t="s">
        <v>61</v>
      </c>
      <c r="T36" t="s">
        <v>62</v>
      </c>
      <c r="U36" t="s">
        <v>61</v>
      </c>
      <c r="V36" s="4">
        <v>45584</v>
      </c>
      <c r="W36" t="s">
        <v>1648</v>
      </c>
      <c r="X36" t="s">
        <v>1650</v>
      </c>
      <c r="Y36" t="s">
        <v>35</v>
      </c>
      <c r="Z36" t="s">
        <v>49</v>
      </c>
      <c r="AA36" t="s">
        <v>50</v>
      </c>
      <c r="AB36" s="4">
        <v>45606</v>
      </c>
      <c r="AC36" t="s">
        <v>1652</v>
      </c>
      <c r="AD36" t="s">
        <v>1653</v>
      </c>
      <c r="AE36" t="s">
        <v>52</v>
      </c>
    </row>
    <row r="37" spans="1:31" x14ac:dyDescent="0.3">
      <c r="A37" t="s">
        <v>287</v>
      </c>
      <c r="B37" s="4">
        <v>45575</v>
      </c>
      <c r="C37" t="s">
        <v>1646</v>
      </c>
      <c r="D37" t="s">
        <v>288</v>
      </c>
      <c r="E37" t="s">
        <v>26</v>
      </c>
      <c r="F37" t="s">
        <v>289</v>
      </c>
      <c r="G37" t="s">
        <v>42</v>
      </c>
      <c r="H37" t="s">
        <v>290</v>
      </c>
      <c r="I37">
        <v>2299</v>
      </c>
      <c r="J37">
        <v>1</v>
      </c>
      <c r="K37" t="s">
        <v>1647</v>
      </c>
      <c r="L37">
        <v>2299</v>
      </c>
      <c r="M37">
        <v>2299</v>
      </c>
      <c r="O37">
        <v>0</v>
      </c>
      <c r="P37">
        <v>0</v>
      </c>
      <c r="Q37" t="s">
        <v>30</v>
      </c>
      <c r="R37" t="s">
        <v>71</v>
      </c>
      <c r="S37" t="s">
        <v>32</v>
      </c>
      <c r="T37" t="s">
        <v>33</v>
      </c>
      <c r="U37" t="s">
        <v>32</v>
      </c>
      <c r="V37" s="4">
        <v>45583</v>
      </c>
      <c r="W37" t="s">
        <v>1648</v>
      </c>
      <c r="X37" t="s">
        <v>1650</v>
      </c>
      <c r="Y37" t="s">
        <v>35</v>
      </c>
      <c r="Z37" t="s">
        <v>36</v>
      </c>
      <c r="AB37" s="4"/>
      <c r="AC37" t="s">
        <v>1649</v>
      </c>
      <c r="AD37" t="s">
        <v>1651</v>
      </c>
      <c r="AE37" t="s">
        <v>37</v>
      </c>
    </row>
    <row r="38" spans="1:31" x14ac:dyDescent="0.3">
      <c r="A38" t="s">
        <v>291</v>
      </c>
      <c r="B38" s="4">
        <v>45575</v>
      </c>
      <c r="C38" t="s">
        <v>1646</v>
      </c>
      <c r="D38" t="s">
        <v>292</v>
      </c>
      <c r="E38" t="s">
        <v>40</v>
      </c>
      <c r="F38" t="s">
        <v>293</v>
      </c>
      <c r="G38" t="s">
        <v>28</v>
      </c>
      <c r="H38" t="s">
        <v>294</v>
      </c>
      <c r="I38">
        <v>1599</v>
      </c>
      <c r="J38">
        <v>2</v>
      </c>
      <c r="K38" t="s">
        <v>1647</v>
      </c>
      <c r="L38">
        <v>3198</v>
      </c>
      <c r="M38">
        <v>2558.4</v>
      </c>
      <c r="N38" t="s">
        <v>44</v>
      </c>
      <c r="O38">
        <v>20</v>
      </c>
      <c r="P38">
        <v>639.6</v>
      </c>
      <c r="Q38" t="s">
        <v>45</v>
      </c>
      <c r="R38" t="s">
        <v>46</v>
      </c>
      <c r="S38" t="s">
        <v>47</v>
      </c>
      <c r="T38" t="s">
        <v>47</v>
      </c>
      <c r="U38" t="s">
        <v>47</v>
      </c>
      <c r="V38" s="4">
        <v>45582</v>
      </c>
      <c r="W38" t="s">
        <v>1648</v>
      </c>
      <c r="X38" t="s">
        <v>1650</v>
      </c>
      <c r="Y38" t="s">
        <v>35</v>
      </c>
      <c r="Z38" t="s">
        <v>49</v>
      </c>
      <c r="AA38" t="s">
        <v>119</v>
      </c>
      <c r="AB38" s="4">
        <v>45604</v>
      </c>
      <c r="AC38" t="s">
        <v>1652</v>
      </c>
      <c r="AD38" t="s">
        <v>1653</v>
      </c>
      <c r="AE38" t="s">
        <v>52</v>
      </c>
    </row>
    <row r="39" spans="1:31" x14ac:dyDescent="0.3">
      <c r="A39" t="s">
        <v>295</v>
      </c>
      <c r="B39" s="4">
        <v>45575</v>
      </c>
      <c r="C39" t="s">
        <v>1646</v>
      </c>
      <c r="D39" t="s">
        <v>296</v>
      </c>
      <c r="E39" t="s">
        <v>26</v>
      </c>
      <c r="F39" t="s">
        <v>297</v>
      </c>
      <c r="G39" t="s">
        <v>67</v>
      </c>
      <c r="H39" t="s">
        <v>298</v>
      </c>
      <c r="I39">
        <v>2499</v>
      </c>
      <c r="J39">
        <v>1</v>
      </c>
      <c r="K39" t="s">
        <v>1647</v>
      </c>
      <c r="L39">
        <v>2499</v>
      </c>
      <c r="M39">
        <v>2499</v>
      </c>
      <c r="O39">
        <v>0</v>
      </c>
      <c r="P39">
        <v>0</v>
      </c>
      <c r="Q39" t="s">
        <v>128</v>
      </c>
      <c r="R39" t="s">
        <v>31</v>
      </c>
      <c r="S39" t="s">
        <v>135</v>
      </c>
      <c r="T39" t="s">
        <v>136</v>
      </c>
      <c r="U39" t="s">
        <v>47</v>
      </c>
      <c r="V39" s="4">
        <v>45585</v>
      </c>
      <c r="W39" t="s">
        <v>1648</v>
      </c>
      <c r="X39" t="s">
        <v>1650</v>
      </c>
      <c r="Y39" t="s">
        <v>35</v>
      </c>
      <c r="Z39" t="s">
        <v>36</v>
      </c>
      <c r="AB39" s="4"/>
      <c r="AC39" t="s">
        <v>1649</v>
      </c>
      <c r="AD39" t="s">
        <v>1651</v>
      </c>
      <c r="AE39" t="s">
        <v>37</v>
      </c>
    </row>
    <row r="40" spans="1:31" x14ac:dyDescent="0.3">
      <c r="A40" t="s">
        <v>299</v>
      </c>
      <c r="B40" s="4">
        <v>45576</v>
      </c>
      <c r="C40" t="s">
        <v>1646</v>
      </c>
      <c r="D40" t="s">
        <v>300</v>
      </c>
      <c r="E40" t="s">
        <v>26</v>
      </c>
      <c r="F40" t="s">
        <v>301</v>
      </c>
      <c r="G40" t="s">
        <v>79</v>
      </c>
      <c r="H40" t="s">
        <v>302</v>
      </c>
      <c r="I40">
        <v>1899</v>
      </c>
      <c r="J40">
        <v>1</v>
      </c>
      <c r="K40" t="s">
        <v>1647</v>
      </c>
      <c r="L40">
        <v>1899</v>
      </c>
      <c r="M40">
        <v>1899</v>
      </c>
      <c r="O40">
        <v>0</v>
      </c>
      <c r="P40">
        <v>0</v>
      </c>
      <c r="Q40" t="s">
        <v>70</v>
      </c>
      <c r="R40" t="s">
        <v>71</v>
      </c>
      <c r="S40" t="s">
        <v>156</v>
      </c>
      <c r="T40" t="s">
        <v>130</v>
      </c>
      <c r="U40" t="s">
        <v>47</v>
      </c>
      <c r="V40" s="4">
        <v>45586</v>
      </c>
      <c r="W40" t="s">
        <v>1648</v>
      </c>
      <c r="X40" t="s">
        <v>1650</v>
      </c>
      <c r="Y40" t="s">
        <v>35</v>
      </c>
      <c r="Z40" t="s">
        <v>49</v>
      </c>
      <c r="AA40" t="s">
        <v>158</v>
      </c>
      <c r="AB40" s="4">
        <v>45608</v>
      </c>
      <c r="AC40" t="s">
        <v>1652</v>
      </c>
      <c r="AD40" t="s">
        <v>1653</v>
      </c>
      <c r="AE40" t="s">
        <v>52</v>
      </c>
    </row>
    <row r="41" spans="1:31" x14ac:dyDescent="0.3">
      <c r="A41" t="s">
        <v>303</v>
      </c>
      <c r="B41" s="4">
        <v>45576</v>
      </c>
      <c r="C41" t="s">
        <v>1646</v>
      </c>
      <c r="D41" t="s">
        <v>304</v>
      </c>
      <c r="E41" t="s">
        <v>26</v>
      </c>
      <c r="F41" t="s">
        <v>305</v>
      </c>
      <c r="G41" t="s">
        <v>58</v>
      </c>
      <c r="H41" t="s">
        <v>306</v>
      </c>
      <c r="I41">
        <v>1999</v>
      </c>
      <c r="J41">
        <v>1</v>
      </c>
      <c r="K41" t="s">
        <v>1647</v>
      </c>
      <c r="L41">
        <v>1999</v>
      </c>
      <c r="M41">
        <v>1699.15</v>
      </c>
      <c r="N41" t="s">
        <v>69</v>
      </c>
      <c r="O41">
        <v>15</v>
      </c>
      <c r="P41">
        <v>299.85000000000002</v>
      </c>
      <c r="Q41" t="s">
        <v>30</v>
      </c>
      <c r="R41" t="s">
        <v>46</v>
      </c>
      <c r="S41" t="s">
        <v>164</v>
      </c>
      <c r="T41" t="s">
        <v>165</v>
      </c>
      <c r="U41" t="s">
        <v>47</v>
      </c>
      <c r="V41" s="4">
        <v>45584</v>
      </c>
      <c r="W41" t="s">
        <v>1648</v>
      </c>
      <c r="X41" t="s">
        <v>1650</v>
      </c>
      <c r="Y41" t="s">
        <v>35</v>
      </c>
      <c r="Z41" t="s">
        <v>36</v>
      </c>
      <c r="AB41" s="4"/>
      <c r="AC41" t="s">
        <v>1649</v>
      </c>
      <c r="AD41" t="s">
        <v>1651</v>
      </c>
      <c r="AE41" t="s">
        <v>37</v>
      </c>
    </row>
    <row r="42" spans="1:31" x14ac:dyDescent="0.3">
      <c r="A42" t="s">
        <v>307</v>
      </c>
      <c r="B42" s="4">
        <v>45576</v>
      </c>
      <c r="C42" t="s">
        <v>1646</v>
      </c>
      <c r="D42" t="s">
        <v>308</v>
      </c>
      <c r="E42" t="s">
        <v>40</v>
      </c>
      <c r="F42" t="s">
        <v>309</v>
      </c>
      <c r="G42" t="s">
        <v>42</v>
      </c>
      <c r="H42" t="s">
        <v>310</v>
      </c>
      <c r="I42">
        <v>2599</v>
      </c>
      <c r="J42">
        <v>1</v>
      </c>
      <c r="K42" t="s">
        <v>1647</v>
      </c>
      <c r="L42">
        <v>2599</v>
      </c>
      <c r="M42">
        <v>2599</v>
      </c>
      <c r="O42">
        <v>0</v>
      </c>
      <c r="P42">
        <v>0</v>
      </c>
      <c r="Q42" t="s">
        <v>45</v>
      </c>
      <c r="R42" t="s">
        <v>31</v>
      </c>
      <c r="S42" t="s">
        <v>171</v>
      </c>
      <c r="T42" t="s">
        <v>172</v>
      </c>
      <c r="U42" t="s">
        <v>32</v>
      </c>
      <c r="V42" s="4">
        <v>45585</v>
      </c>
      <c r="W42" t="s">
        <v>1648</v>
      </c>
      <c r="X42" t="s">
        <v>1650</v>
      </c>
      <c r="Y42" t="s">
        <v>35</v>
      </c>
      <c r="Z42" t="s">
        <v>36</v>
      </c>
      <c r="AB42" s="4"/>
      <c r="AC42" t="s">
        <v>1649</v>
      </c>
      <c r="AD42" t="s">
        <v>1651</v>
      </c>
      <c r="AE42" t="s">
        <v>37</v>
      </c>
    </row>
    <row r="43" spans="1:31" x14ac:dyDescent="0.3">
      <c r="A43" t="s">
        <v>311</v>
      </c>
      <c r="B43" s="4">
        <v>45576</v>
      </c>
      <c r="C43" t="s">
        <v>1646</v>
      </c>
      <c r="D43" t="s">
        <v>312</v>
      </c>
      <c r="E43" t="s">
        <v>26</v>
      </c>
      <c r="F43" t="s">
        <v>313</v>
      </c>
      <c r="G43" t="s">
        <v>28</v>
      </c>
      <c r="H43" t="s">
        <v>314</v>
      </c>
      <c r="I43">
        <v>1299</v>
      </c>
      <c r="J43">
        <v>1</v>
      </c>
      <c r="K43" t="s">
        <v>1647</v>
      </c>
      <c r="L43">
        <v>1299</v>
      </c>
      <c r="M43">
        <v>1299</v>
      </c>
      <c r="O43">
        <v>0</v>
      </c>
      <c r="P43">
        <v>0</v>
      </c>
      <c r="Q43" t="s">
        <v>60</v>
      </c>
      <c r="R43" t="s">
        <v>71</v>
      </c>
      <c r="S43" t="s">
        <v>177</v>
      </c>
      <c r="T43" t="s">
        <v>109</v>
      </c>
      <c r="U43" t="s">
        <v>32</v>
      </c>
      <c r="V43" s="4"/>
      <c r="W43" t="s">
        <v>1656</v>
      </c>
      <c r="X43" t="s">
        <v>1657</v>
      </c>
      <c r="Y43" t="s">
        <v>137</v>
      </c>
      <c r="Z43" t="s">
        <v>36</v>
      </c>
      <c r="AB43" s="4"/>
      <c r="AC43" t="s">
        <v>1656</v>
      </c>
      <c r="AD43" t="s">
        <v>1651</v>
      </c>
      <c r="AE43" t="s">
        <v>37</v>
      </c>
    </row>
    <row r="44" spans="1:31" x14ac:dyDescent="0.3">
      <c r="A44" t="s">
        <v>315</v>
      </c>
      <c r="B44" s="4">
        <v>45577</v>
      </c>
      <c r="C44" t="s">
        <v>1646</v>
      </c>
      <c r="D44" t="s">
        <v>316</v>
      </c>
      <c r="E44" t="s">
        <v>26</v>
      </c>
      <c r="F44" t="s">
        <v>317</v>
      </c>
      <c r="G44" t="s">
        <v>67</v>
      </c>
      <c r="H44" t="s">
        <v>318</v>
      </c>
      <c r="I44">
        <v>5999</v>
      </c>
      <c r="J44">
        <v>1</v>
      </c>
      <c r="K44" t="s">
        <v>1647</v>
      </c>
      <c r="L44">
        <v>5999</v>
      </c>
      <c r="M44">
        <v>4799.2</v>
      </c>
      <c r="N44" t="s">
        <v>44</v>
      </c>
      <c r="O44">
        <v>20</v>
      </c>
      <c r="P44">
        <v>1199.8</v>
      </c>
      <c r="Q44" t="s">
        <v>45</v>
      </c>
      <c r="R44" t="s">
        <v>46</v>
      </c>
      <c r="S44" t="s">
        <v>184</v>
      </c>
      <c r="T44" t="s">
        <v>185</v>
      </c>
      <c r="U44" t="s">
        <v>47</v>
      </c>
      <c r="V44" s="4">
        <v>45587</v>
      </c>
      <c r="W44" t="s">
        <v>1648</v>
      </c>
      <c r="X44" t="s">
        <v>1650</v>
      </c>
      <c r="Y44" t="s">
        <v>35</v>
      </c>
      <c r="Z44" t="s">
        <v>49</v>
      </c>
      <c r="AA44" t="s">
        <v>50</v>
      </c>
      <c r="AB44" s="4">
        <v>45611</v>
      </c>
      <c r="AC44" t="s">
        <v>1652</v>
      </c>
      <c r="AD44" t="s">
        <v>1653</v>
      </c>
      <c r="AE44" t="s">
        <v>52</v>
      </c>
    </row>
    <row r="45" spans="1:31" x14ac:dyDescent="0.3">
      <c r="A45" t="s">
        <v>320</v>
      </c>
      <c r="B45" s="4">
        <v>45577</v>
      </c>
      <c r="C45" t="s">
        <v>1646</v>
      </c>
      <c r="D45" t="s">
        <v>321</v>
      </c>
      <c r="E45" t="s">
        <v>26</v>
      </c>
      <c r="F45" t="s">
        <v>322</v>
      </c>
      <c r="G45" t="s">
        <v>79</v>
      </c>
      <c r="H45" t="s">
        <v>323</v>
      </c>
      <c r="I45">
        <v>799</v>
      </c>
      <c r="J45">
        <v>2</v>
      </c>
      <c r="K45" t="s">
        <v>1647</v>
      </c>
      <c r="L45">
        <v>1598</v>
      </c>
      <c r="M45">
        <v>1598</v>
      </c>
      <c r="O45">
        <v>0</v>
      </c>
      <c r="P45">
        <v>0</v>
      </c>
      <c r="Q45" t="s">
        <v>30</v>
      </c>
      <c r="R45" t="s">
        <v>31</v>
      </c>
      <c r="S45" t="s">
        <v>190</v>
      </c>
      <c r="T45" t="s">
        <v>172</v>
      </c>
      <c r="U45" t="s">
        <v>32</v>
      </c>
      <c r="V45" s="4">
        <v>45585</v>
      </c>
      <c r="W45" t="s">
        <v>1648</v>
      </c>
      <c r="X45" t="s">
        <v>1650</v>
      </c>
      <c r="Y45" t="s">
        <v>35</v>
      </c>
      <c r="Z45" t="s">
        <v>36</v>
      </c>
      <c r="AB45" s="4"/>
      <c r="AC45" t="s">
        <v>1649</v>
      </c>
      <c r="AD45" t="s">
        <v>1651</v>
      </c>
      <c r="AE45" t="s">
        <v>37</v>
      </c>
    </row>
    <row r="46" spans="1:31" x14ac:dyDescent="0.3">
      <c r="A46" t="s">
        <v>324</v>
      </c>
      <c r="B46" s="4">
        <v>45577</v>
      </c>
      <c r="C46" t="s">
        <v>1646</v>
      </c>
      <c r="D46" t="s">
        <v>325</v>
      </c>
      <c r="E46" t="s">
        <v>40</v>
      </c>
      <c r="F46" t="s">
        <v>326</v>
      </c>
      <c r="G46" t="s">
        <v>58</v>
      </c>
      <c r="H46" t="s">
        <v>327</v>
      </c>
      <c r="I46">
        <v>999</v>
      </c>
      <c r="J46">
        <v>2</v>
      </c>
      <c r="K46" t="s">
        <v>1647</v>
      </c>
      <c r="L46">
        <v>1998</v>
      </c>
      <c r="M46">
        <v>1998</v>
      </c>
      <c r="O46">
        <v>0</v>
      </c>
      <c r="P46">
        <v>0</v>
      </c>
      <c r="Q46" t="s">
        <v>128</v>
      </c>
      <c r="R46" t="s">
        <v>46</v>
      </c>
      <c r="S46" t="s">
        <v>195</v>
      </c>
      <c r="T46" t="s">
        <v>33</v>
      </c>
      <c r="U46" t="s">
        <v>32</v>
      </c>
      <c r="V46" s="4">
        <v>45584</v>
      </c>
      <c r="W46" t="s">
        <v>1648</v>
      </c>
      <c r="X46" t="s">
        <v>1650</v>
      </c>
      <c r="Y46" t="s">
        <v>35</v>
      </c>
      <c r="Z46" t="s">
        <v>36</v>
      </c>
      <c r="AB46" s="4"/>
      <c r="AC46" t="s">
        <v>1649</v>
      </c>
      <c r="AD46" t="s">
        <v>1651</v>
      </c>
      <c r="AE46" t="s">
        <v>37</v>
      </c>
    </row>
    <row r="47" spans="1:31" x14ac:dyDescent="0.3">
      <c r="A47" t="s">
        <v>328</v>
      </c>
      <c r="B47" s="4">
        <v>45577</v>
      </c>
      <c r="C47" t="s">
        <v>1646</v>
      </c>
      <c r="D47" t="s">
        <v>329</v>
      </c>
      <c r="E47" t="s">
        <v>26</v>
      </c>
      <c r="F47" t="s">
        <v>330</v>
      </c>
      <c r="G47" t="s">
        <v>42</v>
      </c>
      <c r="H47" t="s">
        <v>331</v>
      </c>
      <c r="I47">
        <v>1899</v>
      </c>
      <c r="J47">
        <v>1</v>
      </c>
      <c r="K47" t="s">
        <v>1647</v>
      </c>
      <c r="L47">
        <v>1899</v>
      </c>
      <c r="M47">
        <v>1899</v>
      </c>
      <c r="O47">
        <v>0</v>
      </c>
      <c r="P47">
        <v>0</v>
      </c>
      <c r="Q47" t="s">
        <v>70</v>
      </c>
      <c r="R47" t="s">
        <v>71</v>
      </c>
      <c r="S47" t="s">
        <v>202</v>
      </c>
      <c r="T47" t="s">
        <v>73</v>
      </c>
      <c r="U47" t="s">
        <v>61</v>
      </c>
      <c r="V47" s="4">
        <v>45587</v>
      </c>
      <c r="W47" t="s">
        <v>1648</v>
      </c>
      <c r="X47" t="s">
        <v>1650</v>
      </c>
      <c r="Y47" t="s">
        <v>35</v>
      </c>
      <c r="Z47" t="s">
        <v>49</v>
      </c>
      <c r="AA47" t="s">
        <v>75</v>
      </c>
      <c r="AB47" s="4">
        <v>45610</v>
      </c>
      <c r="AC47" t="s">
        <v>1652</v>
      </c>
      <c r="AD47" t="s">
        <v>1653</v>
      </c>
      <c r="AE47" t="s">
        <v>52</v>
      </c>
    </row>
    <row r="48" spans="1:31" x14ac:dyDescent="0.3">
      <c r="A48" t="s">
        <v>333</v>
      </c>
      <c r="B48" s="4">
        <v>45578</v>
      </c>
      <c r="C48" t="s">
        <v>1646</v>
      </c>
      <c r="D48" t="s">
        <v>334</v>
      </c>
      <c r="E48" t="s">
        <v>26</v>
      </c>
      <c r="F48" t="s">
        <v>335</v>
      </c>
      <c r="G48" t="s">
        <v>28</v>
      </c>
      <c r="H48" t="s">
        <v>336</v>
      </c>
      <c r="I48">
        <v>1699</v>
      </c>
      <c r="J48">
        <v>1</v>
      </c>
      <c r="K48" t="s">
        <v>1647</v>
      </c>
      <c r="L48">
        <v>1699</v>
      </c>
      <c r="M48">
        <v>1529.1</v>
      </c>
      <c r="N48" t="s">
        <v>127</v>
      </c>
      <c r="O48">
        <v>10</v>
      </c>
      <c r="P48">
        <v>169.9</v>
      </c>
      <c r="Q48" t="s">
        <v>45</v>
      </c>
      <c r="R48" t="s">
        <v>31</v>
      </c>
      <c r="S48" t="s">
        <v>208</v>
      </c>
      <c r="T48" t="s">
        <v>209</v>
      </c>
      <c r="U48" t="s">
        <v>61</v>
      </c>
      <c r="V48" s="4">
        <v>45586</v>
      </c>
      <c r="W48" t="s">
        <v>1648</v>
      </c>
      <c r="X48" t="s">
        <v>1650</v>
      </c>
      <c r="Y48" t="s">
        <v>35</v>
      </c>
      <c r="Z48" t="s">
        <v>36</v>
      </c>
      <c r="AB48" s="4"/>
      <c r="AC48" t="s">
        <v>1649</v>
      </c>
      <c r="AD48" t="s">
        <v>1651</v>
      </c>
      <c r="AE48" t="s">
        <v>37</v>
      </c>
    </row>
    <row r="49" spans="1:31" x14ac:dyDescent="0.3">
      <c r="A49" t="s">
        <v>337</v>
      </c>
      <c r="B49" s="4">
        <v>45578</v>
      </c>
      <c r="C49" t="s">
        <v>1646</v>
      </c>
      <c r="D49" t="s">
        <v>338</v>
      </c>
      <c r="E49" t="s">
        <v>26</v>
      </c>
      <c r="F49" t="s">
        <v>339</v>
      </c>
      <c r="G49" t="s">
        <v>67</v>
      </c>
      <c r="H49" t="s">
        <v>340</v>
      </c>
      <c r="I49">
        <v>3799</v>
      </c>
      <c r="J49">
        <v>1</v>
      </c>
      <c r="K49" t="s">
        <v>1647</v>
      </c>
      <c r="L49">
        <v>3799</v>
      </c>
      <c r="M49">
        <v>3799</v>
      </c>
      <c r="O49">
        <v>0</v>
      </c>
      <c r="P49">
        <v>0</v>
      </c>
      <c r="Q49" t="s">
        <v>30</v>
      </c>
      <c r="R49" t="s">
        <v>46</v>
      </c>
      <c r="S49" t="s">
        <v>215</v>
      </c>
      <c r="T49" t="s">
        <v>216</v>
      </c>
      <c r="U49" t="s">
        <v>61</v>
      </c>
      <c r="V49" s="4">
        <v>45588</v>
      </c>
      <c r="W49" t="s">
        <v>1648</v>
      </c>
      <c r="X49" t="s">
        <v>1650</v>
      </c>
      <c r="Y49" t="s">
        <v>35</v>
      </c>
      <c r="Z49" t="s">
        <v>49</v>
      </c>
      <c r="AA49" t="s">
        <v>50</v>
      </c>
      <c r="AB49" s="4">
        <v>45614</v>
      </c>
      <c r="AC49" t="s">
        <v>1652</v>
      </c>
      <c r="AD49" t="s">
        <v>1653</v>
      </c>
      <c r="AE49" t="s">
        <v>52</v>
      </c>
    </row>
    <row r="50" spans="1:31" x14ac:dyDescent="0.3">
      <c r="A50" t="s">
        <v>343</v>
      </c>
      <c r="B50" s="4">
        <v>45578</v>
      </c>
      <c r="C50" t="s">
        <v>1646</v>
      </c>
      <c r="D50" t="s">
        <v>344</v>
      </c>
      <c r="E50" t="s">
        <v>40</v>
      </c>
      <c r="F50" t="s">
        <v>345</v>
      </c>
      <c r="G50" t="s">
        <v>79</v>
      </c>
      <c r="H50" t="s">
        <v>346</v>
      </c>
      <c r="I50">
        <v>1299</v>
      </c>
      <c r="J50">
        <v>1</v>
      </c>
      <c r="K50" t="s">
        <v>1647</v>
      </c>
      <c r="L50">
        <v>1299</v>
      </c>
      <c r="M50">
        <v>1299</v>
      </c>
      <c r="O50">
        <v>0</v>
      </c>
      <c r="P50">
        <v>0</v>
      </c>
      <c r="Q50" t="s">
        <v>60</v>
      </c>
      <c r="R50" t="s">
        <v>71</v>
      </c>
      <c r="S50" t="s">
        <v>221</v>
      </c>
      <c r="T50" t="s">
        <v>209</v>
      </c>
      <c r="U50" t="s">
        <v>61</v>
      </c>
      <c r="V50" s="4">
        <v>45587</v>
      </c>
      <c r="W50" t="s">
        <v>1648</v>
      </c>
      <c r="X50" t="s">
        <v>1650</v>
      </c>
      <c r="Y50" t="s">
        <v>35</v>
      </c>
      <c r="Z50" t="s">
        <v>36</v>
      </c>
      <c r="AB50" s="4"/>
      <c r="AC50" t="s">
        <v>1649</v>
      </c>
      <c r="AD50" t="s">
        <v>1651</v>
      </c>
      <c r="AE50" t="s">
        <v>37</v>
      </c>
    </row>
    <row r="51" spans="1:31" x14ac:dyDescent="0.3">
      <c r="A51" t="s">
        <v>347</v>
      </c>
      <c r="B51" s="4">
        <v>45578</v>
      </c>
      <c r="C51" t="s">
        <v>1646</v>
      </c>
      <c r="D51" t="s">
        <v>348</v>
      </c>
      <c r="E51" t="s">
        <v>26</v>
      </c>
      <c r="F51" t="s">
        <v>349</v>
      </c>
      <c r="G51" t="s">
        <v>58</v>
      </c>
      <c r="H51" t="s">
        <v>350</v>
      </c>
      <c r="I51">
        <v>2099</v>
      </c>
      <c r="J51">
        <v>1</v>
      </c>
      <c r="K51" t="s">
        <v>1647</v>
      </c>
      <c r="L51">
        <v>2099</v>
      </c>
      <c r="M51">
        <v>1679.2</v>
      </c>
      <c r="N51" t="s">
        <v>44</v>
      </c>
      <c r="O51">
        <v>20</v>
      </c>
      <c r="P51">
        <v>419.8</v>
      </c>
      <c r="Q51" t="s">
        <v>45</v>
      </c>
      <c r="R51" t="s">
        <v>31</v>
      </c>
      <c r="S51" t="s">
        <v>226</v>
      </c>
      <c r="T51" t="s">
        <v>62</v>
      </c>
      <c r="U51" t="s">
        <v>61</v>
      </c>
      <c r="V51" s="4">
        <v>45589</v>
      </c>
      <c r="W51" t="s">
        <v>1648</v>
      </c>
      <c r="X51" t="s">
        <v>1650</v>
      </c>
      <c r="Y51" t="s">
        <v>35</v>
      </c>
      <c r="Z51" t="s">
        <v>36</v>
      </c>
      <c r="AB51" s="4"/>
      <c r="AC51" t="s">
        <v>1649</v>
      </c>
      <c r="AD51" t="s">
        <v>1651</v>
      </c>
      <c r="AE51" t="s">
        <v>37</v>
      </c>
    </row>
    <row r="52" spans="1:31" x14ac:dyDescent="0.3">
      <c r="A52" t="s">
        <v>352</v>
      </c>
      <c r="B52" s="4">
        <v>45579</v>
      </c>
      <c r="C52" t="s">
        <v>1646</v>
      </c>
      <c r="D52" t="s">
        <v>353</v>
      </c>
      <c r="E52" t="s">
        <v>26</v>
      </c>
      <c r="F52" t="s">
        <v>354</v>
      </c>
      <c r="G52" t="s">
        <v>42</v>
      </c>
      <c r="H52" t="s">
        <v>355</v>
      </c>
      <c r="I52">
        <v>2799</v>
      </c>
      <c r="J52">
        <v>1</v>
      </c>
      <c r="K52" t="s">
        <v>1647</v>
      </c>
      <c r="L52">
        <v>2799</v>
      </c>
      <c r="M52">
        <v>2799</v>
      </c>
      <c r="O52">
        <v>0</v>
      </c>
      <c r="P52">
        <v>0</v>
      </c>
      <c r="Q52" t="s">
        <v>70</v>
      </c>
      <c r="R52" t="s">
        <v>46</v>
      </c>
      <c r="S52" t="s">
        <v>233</v>
      </c>
      <c r="T52" t="s">
        <v>109</v>
      </c>
      <c r="U52" t="s">
        <v>32</v>
      </c>
      <c r="V52" s="4">
        <v>45588</v>
      </c>
      <c r="W52" t="s">
        <v>1648</v>
      </c>
      <c r="X52" t="s">
        <v>1650</v>
      </c>
      <c r="Y52" t="s">
        <v>35</v>
      </c>
      <c r="Z52" t="s">
        <v>49</v>
      </c>
      <c r="AA52" t="s">
        <v>89</v>
      </c>
      <c r="AB52" s="4">
        <v>45612</v>
      </c>
      <c r="AC52" t="s">
        <v>1652</v>
      </c>
      <c r="AD52" t="s">
        <v>1653</v>
      </c>
      <c r="AE52" t="s">
        <v>52</v>
      </c>
    </row>
    <row r="53" spans="1:31" x14ac:dyDescent="0.3">
      <c r="A53" t="s">
        <v>357</v>
      </c>
      <c r="B53" s="4">
        <v>45579</v>
      </c>
      <c r="C53" t="s">
        <v>1646</v>
      </c>
      <c r="D53" t="s">
        <v>358</v>
      </c>
      <c r="E53" t="s">
        <v>26</v>
      </c>
      <c r="F53" t="s">
        <v>359</v>
      </c>
      <c r="G53" t="s">
        <v>28</v>
      </c>
      <c r="H53" t="s">
        <v>360</v>
      </c>
      <c r="I53">
        <v>1499</v>
      </c>
      <c r="J53">
        <v>1</v>
      </c>
      <c r="K53" t="s">
        <v>1647</v>
      </c>
      <c r="L53">
        <v>1499</v>
      </c>
      <c r="M53">
        <v>1499</v>
      </c>
      <c r="O53">
        <v>0</v>
      </c>
      <c r="P53">
        <v>0</v>
      </c>
      <c r="Q53" t="s">
        <v>128</v>
      </c>
      <c r="R53" t="s">
        <v>31</v>
      </c>
      <c r="S53" t="s">
        <v>238</v>
      </c>
      <c r="T53" t="s">
        <v>109</v>
      </c>
      <c r="U53" t="s">
        <v>32</v>
      </c>
      <c r="V53" s="4">
        <v>45587</v>
      </c>
      <c r="W53" t="s">
        <v>1648</v>
      </c>
      <c r="X53" t="s">
        <v>1650</v>
      </c>
      <c r="Y53" t="s">
        <v>35</v>
      </c>
      <c r="Z53" t="s">
        <v>36</v>
      </c>
      <c r="AB53" s="4"/>
      <c r="AC53" t="s">
        <v>1649</v>
      </c>
      <c r="AD53" t="s">
        <v>1651</v>
      </c>
      <c r="AE53" t="s">
        <v>37</v>
      </c>
    </row>
    <row r="54" spans="1:31" x14ac:dyDescent="0.3">
      <c r="A54" t="s">
        <v>361</v>
      </c>
      <c r="B54" s="4">
        <v>45579</v>
      </c>
      <c r="C54" t="s">
        <v>1646</v>
      </c>
      <c r="D54" t="s">
        <v>362</v>
      </c>
      <c r="E54" t="s">
        <v>40</v>
      </c>
      <c r="F54" t="s">
        <v>363</v>
      </c>
      <c r="G54" t="s">
        <v>67</v>
      </c>
      <c r="H54" t="s">
        <v>364</v>
      </c>
      <c r="I54">
        <v>4499</v>
      </c>
      <c r="J54">
        <v>1</v>
      </c>
      <c r="K54" t="s">
        <v>1647</v>
      </c>
      <c r="L54">
        <v>4499</v>
      </c>
      <c r="M54">
        <v>3824.15</v>
      </c>
      <c r="N54" t="s">
        <v>69</v>
      </c>
      <c r="O54">
        <v>15</v>
      </c>
      <c r="P54">
        <v>674.85</v>
      </c>
      <c r="Q54" t="s">
        <v>30</v>
      </c>
      <c r="R54" t="s">
        <v>71</v>
      </c>
      <c r="S54" t="s">
        <v>243</v>
      </c>
      <c r="T54" t="s">
        <v>130</v>
      </c>
      <c r="U54" t="s">
        <v>47</v>
      </c>
      <c r="V54" s="4">
        <v>45590</v>
      </c>
      <c r="W54" t="s">
        <v>1648</v>
      </c>
      <c r="X54" t="s">
        <v>1650</v>
      </c>
      <c r="Y54" t="s">
        <v>35</v>
      </c>
      <c r="Z54" t="s">
        <v>49</v>
      </c>
      <c r="AA54" t="s">
        <v>119</v>
      </c>
      <c r="AB54" s="4">
        <v>45616</v>
      </c>
      <c r="AC54" t="s">
        <v>1652</v>
      </c>
      <c r="AD54" t="s">
        <v>1653</v>
      </c>
      <c r="AE54" t="s">
        <v>52</v>
      </c>
    </row>
    <row r="55" spans="1:31" x14ac:dyDescent="0.3">
      <c r="A55" t="s">
        <v>366</v>
      </c>
      <c r="B55" s="4">
        <v>45579</v>
      </c>
      <c r="C55" t="s">
        <v>1646</v>
      </c>
      <c r="D55" t="s">
        <v>367</v>
      </c>
      <c r="E55" t="s">
        <v>26</v>
      </c>
      <c r="F55" t="s">
        <v>368</v>
      </c>
      <c r="G55" t="s">
        <v>79</v>
      </c>
      <c r="H55" t="s">
        <v>369</v>
      </c>
      <c r="I55">
        <v>899</v>
      </c>
      <c r="J55">
        <v>1</v>
      </c>
      <c r="K55" t="s">
        <v>1647</v>
      </c>
      <c r="L55">
        <v>899</v>
      </c>
      <c r="M55">
        <v>899</v>
      </c>
      <c r="O55">
        <v>0</v>
      </c>
      <c r="P55">
        <v>0</v>
      </c>
      <c r="Q55" t="s">
        <v>45</v>
      </c>
      <c r="R55" t="s">
        <v>46</v>
      </c>
      <c r="S55" t="s">
        <v>32</v>
      </c>
      <c r="T55" t="s">
        <v>33</v>
      </c>
      <c r="U55" t="s">
        <v>32</v>
      </c>
      <c r="V55" s="4">
        <v>45588</v>
      </c>
      <c r="W55" t="s">
        <v>1648</v>
      </c>
      <c r="X55" t="s">
        <v>1650</v>
      </c>
      <c r="Y55" t="s">
        <v>35</v>
      </c>
      <c r="Z55" t="s">
        <v>36</v>
      </c>
      <c r="AB55" s="4"/>
      <c r="AC55" t="s">
        <v>1649</v>
      </c>
      <c r="AD55" t="s">
        <v>1651</v>
      </c>
      <c r="AE55" t="s">
        <v>37</v>
      </c>
    </row>
    <row r="56" spans="1:31" x14ac:dyDescent="0.3">
      <c r="A56" t="s">
        <v>370</v>
      </c>
      <c r="B56" s="4">
        <v>45580</v>
      </c>
      <c r="C56" t="s">
        <v>1646</v>
      </c>
      <c r="D56" t="s">
        <v>371</v>
      </c>
      <c r="E56" t="s">
        <v>26</v>
      </c>
      <c r="F56" t="s">
        <v>372</v>
      </c>
      <c r="G56" t="s">
        <v>58</v>
      </c>
      <c r="H56" t="s">
        <v>373</v>
      </c>
      <c r="I56">
        <v>1799</v>
      </c>
      <c r="J56">
        <v>1</v>
      </c>
      <c r="K56" t="s">
        <v>1647</v>
      </c>
      <c r="L56">
        <v>1799</v>
      </c>
      <c r="M56">
        <v>1799</v>
      </c>
      <c r="O56">
        <v>0</v>
      </c>
      <c r="P56">
        <v>0</v>
      </c>
      <c r="Q56" t="s">
        <v>60</v>
      </c>
      <c r="R56" t="s">
        <v>31</v>
      </c>
      <c r="S56" t="s">
        <v>47</v>
      </c>
      <c r="T56" t="s">
        <v>47</v>
      </c>
      <c r="U56" t="s">
        <v>47</v>
      </c>
      <c r="V56" s="4"/>
      <c r="W56" t="s">
        <v>1656</v>
      </c>
      <c r="X56" t="s">
        <v>1657</v>
      </c>
      <c r="Y56" t="s">
        <v>137</v>
      </c>
      <c r="Z56" t="s">
        <v>36</v>
      </c>
      <c r="AB56" s="4"/>
      <c r="AC56" t="s">
        <v>1656</v>
      </c>
      <c r="AD56" t="s">
        <v>1651</v>
      </c>
      <c r="AE56" t="s">
        <v>37</v>
      </c>
    </row>
    <row r="57" spans="1:31" x14ac:dyDescent="0.3">
      <c r="A57" t="s">
        <v>374</v>
      </c>
      <c r="B57" s="4">
        <v>45580</v>
      </c>
      <c r="C57" t="s">
        <v>1646</v>
      </c>
      <c r="D57" t="s">
        <v>375</v>
      </c>
      <c r="E57" t="s">
        <v>26</v>
      </c>
      <c r="F57" t="s">
        <v>376</v>
      </c>
      <c r="G57" t="s">
        <v>42</v>
      </c>
      <c r="H57" t="s">
        <v>377</v>
      </c>
      <c r="I57">
        <v>2199</v>
      </c>
      <c r="J57">
        <v>1</v>
      </c>
      <c r="K57" t="s">
        <v>1647</v>
      </c>
      <c r="L57">
        <v>2199</v>
      </c>
      <c r="M57">
        <v>1759.2</v>
      </c>
      <c r="N57" t="s">
        <v>44</v>
      </c>
      <c r="O57">
        <v>20</v>
      </c>
      <c r="P57">
        <v>439.8</v>
      </c>
      <c r="Q57" t="s">
        <v>70</v>
      </c>
      <c r="R57" t="s">
        <v>71</v>
      </c>
      <c r="S57" t="s">
        <v>101</v>
      </c>
      <c r="T57" t="s">
        <v>102</v>
      </c>
      <c r="U57" t="s">
        <v>47</v>
      </c>
      <c r="V57" s="4">
        <v>45591</v>
      </c>
      <c r="W57" t="s">
        <v>1648</v>
      </c>
      <c r="X57" t="s">
        <v>1650</v>
      </c>
      <c r="Y57" t="s">
        <v>35</v>
      </c>
      <c r="Z57" t="s">
        <v>49</v>
      </c>
      <c r="AA57" t="s">
        <v>50</v>
      </c>
      <c r="AB57" s="4">
        <v>45618</v>
      </c>
      <c r="AC57" t="s">
        <v>1652</v>
      </c>
      <c r="AD57" t="s">
        <v>1653</v>
      </c>
      <c r="AE57" t="s">
        <v>52</v>
      </c>
    </row>
    <row r="58" spans="1:31" x14ac:dyDescent="0.3">
      <c r="A58" t="s">
        <v>379</v>
      </c>
      <c r="B58" s="4">
        <v>45580</v>
      </c>
      <c r="C58" t="s">
        <v>1646</v>
      </c>
      <c r="D58" t="s">
        <v>380</v>
      </c>
      <c r="E58" t="s">
        <v>40</v>
      </c>
      <c r="F58" t="s">
        <v>381</v>
      </c>
      <c r="G58" t="s">
        <v>28</v>
      </c>
      <c r="H58" t="s">
        <v>382</v>
      </c>
      <c r="I58">
        <v>1399</v>
      </c>
      <c r="J58">
        <v>1</v>
      </c>
      <c r="K58" t="s">
        <v>1647</v>
      </c>
      <c r="L58">
        <v>1399</v>
      </c>
      <c r="M58">
        <v>1399</v>
      </c>
      <c r="O58">
        <v>0</v>
      </c>
      <c r="P58">
        <v>0</v>
      </c>
      <c r="Q58" t="s">
        <v>30</v>
      </c>
      <c r="R58" t="s">
        <v>46</v>
      </c>
      <c r="S58" t="s">
        <v>72</v>
      </c>
      <c r="T58" t="s">
        <v>73</v>
      </c>
      <c r="U58" t="s">
        <v>61</v>
      </c>
      <c r="V58" s="4">
        <v>45589</v>
      </c>
      <c r="W58" t="s">
        <v>1648</v>
      </c>
      <c r="X58" t="s">
        <v>1650</v>
      </c>
      <c r="Y58" t="s">
        <v>35</v>
      </c>
      <c r="Z58" t="s">
        <v>36</v>
      </c>
      <c r="AB58" s="4"/>
      <c r="AC58" t="s">
        <v>1649</v>
      </c>
      <c r="AD58" t="s">
        <v>1651</v>
      </c>
      <c r="AE58" t="s">
        <v>37</v>
      </c>
    </row>
    <row r="59" spans="1:31" x14ac:dyDescent="0.3">
      <c r="A59" t="s">
        <v>383</v>
      </c>
      <c r="B59" s="4">
        <v>45580</v>
      </c>
      <c r="C59" t="s">
        <v>1646</v>
      </c>
      <c r="D59" t="s">
        <v>384</v>
      </c>
      <c r="E59" t="s">
        <v>26</v>
      </c>
      <c r="F59" t="s">
        <v>385</v>
      </c>
      <c r="G59" t="s">
        <v>67</v>
      </c>
      <c r="H59" t="s">
        <v>386</v>
      </c>
      <c r="I59">
        <v>2999</v>
      </c>
      <c r="J59">
        <v>1</v>
      </c>
      <c r="K59" t="s">
        <v>1647</v>
      </c>
      <c r="L59">
        <v>2999</v>
      </c>
      <c r="M59">
        <v>2999</v>
      </c>
      <c r="O59">
        <v>0</v>
      </c>
      <c r="P59">
        <v>0</v>
      </c>
      <c r="Q59" t="s">
        <v>45</v>
      </c>
      <c r="R59" t="s">
        <v>31</v>
      </c>
      <c r="S59" t="s">
        <v>86</v>
      </c>
      <c r="T59" t="s">
        <v>87</v>
      </c>
      <c r="U59" t="s">
        <v>61</v>
      </c>
      <c r="V59" s="4">
        <v>45592</v>
      </c>
      <c r="W59" t="s">
        <v>1648</v>
      </c>
      <c r="X59" t="s">
        <v>1650</v>
      </c>
      <c r="Y59" t="s">
        <v>35</v>
      </c>
      <c r="Z59" t="s">
        <v>49</v>
      </c>
      <c r="AA59" t="s">
        <v>75</v>
      </c>
      <c r="AB59" s="4">
        <v>45620</v>
      </c>
      <c r="AC59" t="s">
        <v>1652</v>
      </c>
      <c r="AD59" t="s">
        <v>1653</v>
      </c>
      <c r="AE59" t="s">
        <v>52</v>
      </c>
    </row>
    <row r="60" spans="1:31" x14ac:dyDescent="0.3">
      <c r="A60" t="s">
        <v>389</v>
      </c>
      <c r="B60" s="4">
        <v>45581</v>
      </c>
      <c r="C60" t="s">
        <v>1646</v>
      </c>
      <c r="D60" t="s">
        <v>390</v>
      </c>
      <c r="E60" t="s">
        <v>26</v>
      </c>
      <c r="F60" t="s">
        <v>391</v>
      </c>
      <c r="G60" t="s">
        <v>79</v>
      </c>
      <c r="H60" t="s">
        <v>392</v>
      </c>
      <c r="I60">
        <v>699</v>
      </c>
      <c r="J60">
        <v>2</v>
      </c>
      <c r="K60" t="s">
        <v>1647</v>
      </c>
      <c r="L60">
        <v>1398</v>
      </c>
      <c r="M60">
        <v>1258.2</v>
      </c>
      <c r="N60" t="s">
        <v>127</v>
      </c>
      <c r="O60">
        <v>10</v>
      </c>
      <c r="P60">
        <v>139.80000000000001</v>
      </c>
      <c r="Q60" t="s">
        <v>128</v>
      </c>
      <c r="R60" t="s">
        <v>71</v>
      </c>
      <c r="S60" t="s">
        <v>95</v>
      </c>
      <c r="T60" t="s">
        <v>33</v>
      </c>
      <c r="U60" t="s">
        <v>32</v>
      </c>
      <c r="V60" s="4">
        <v>45590</v>
      </c>
      <c r="W60" t="s">
        <v>1648</v>
      </c>
      <c r="X60" t="s">
        <v>1650</v>
      </c>
      <c r="Y60" t="s">
        <v>35</v>
      </c>
      <c r="Z60" t="s">
        <v>36</v>
      </c>
      <c r="AB60" s="4"/>
      <c r="AC60" t="s">
        <v>1649</v>
      </c>
      <c r="AD60" t="s">
        <v>1651</v>
      </c>
      <c r="AE60" t="s">
        <v>37</v>
      </c>
    </row>
    <row r="61" spans="1:31" x14ac:dyDescent="0.3">
      <c r="A61" t="s">
        <v>393</v>
      </c>
      <c r="B61" s="4">
        <v>45581</v>
      </c>
      <c r="C61" t="s">
        <v>1646</v>
      </c>
      <c r="D61" t="s">
        <v>394</v>
      </c>
      <c r="E61" t="s">
        <v>26</v>
      </c>
      <c r="F61" t="s">
        <v>395</v>
      </c>
      <c r="G61" t="s">
        <v>58</v>
      </c>
      <c r="H61" t="s">
        <v>396</v>
      </c>
      <c r="I61">
        <v>2199</v>
      </c>
      <c r="J61">
        <v>1</v>
      </c>
      <c r="K61" t="s">
        <v>1647</v>
      </c>
      <c r="L61">
        <v>2199</v>
      </c>
      <c r="M61">
        <v>2199</v>
      </c>
      <c r="O61">
        <v>0</v>
      </c>
      <c r="P61">
        <v>0</v>
      </c>
      <c r="Q61" t="s">
        <v>60</v>
      </c>
      <c r="R61" t="s">
        <v>46</v>
      </c>
      <c r="S61" t="s">
        <v>108</v>
      </c>
      <c r="T61" t="s">
        <v>109</v>
      </c>
      <c r="U61" t="s">
        <v>32</v>
      </c>
      <c r="V61" s="4">
        <v>45593</v>
      </c>
      <c r="W61" t="s">
        <v>1648</v>
      </c>
      <c r="X61" t="s">
        <v>1650</v>
      </c>
      <c r="Y61" t="s">
        <v>35</v>
      </c>
      <c r="Z61" t="s">
        <v>49</v>
      </c>
      <c r="AA61" t="s">
        <v>50</v>
      </c>
      <c r="AB61" s="4">
        <v>45621</v>
      </c>
      <c r="AC61" t="s">
        <v>1652</v>
      </c>
      <c r="AD61" t="s">
        <v>1653</v>
      </c>
      <c r="AE61" t="s">
        <v>52</v>
      </c>
    </row>
    <row r="62" spans="1:31" x14ac:dyDescent="0.3">
      <c r="A62" t="s">
        <v>398</v>
      </c>
      <c r="B62" s="4">
        <v>45581</v>
      </c>
      <c r="C62" t="s">
        <v>1646</v>
      </c>
      <c r="D62" t="s">
        <v>399</v>
      </c>
      <c r="E62" t="s">
        <v>40</v>
      </c>
      <c r="F62" t="s">
        <v>400</v>
      </c>
      <c r="G62" t="s">
        <v>42</v>
      </c>
      <c r="H62" t="s">
        <v>401</v>
      </c>
      <c r="I62">
        <v>2499</v>
      </c>
      <c r="J62">
        <v>1</v>
      </c>
      <c r="K62" t="s">
        <v>1647</v>
      </c>
      <c r="L62">
        <v>2499</v>
      </c>
      <c r="M62">
        <v>2499</v>
      </c>
      <c r="O62">
        <v>0</v>
      </c>
      <c r="P62">
        <v>0</v>
      </c>
      <c r="Q62" t="s">
        <v>45</v>
      </c>
      <c r="R62" t="s">
        <v>31</v>
      </c>
      <c r="S62" t="s">
        <v>116</v>
      </c>
      <c r="T62" t="s">
        <v>117</v>
      </c>
      <c r="U62" t="s">
        <v>47</v>
      </c>
      <c r="V62" s="4">
        <v>45591</v>
      </c>
      <c r="W62" t="s">
        <v>1648</v>
      </c>
      <c r="X62" t="s">
        <v>1650</v>
      </c>
      <c r="Y62" t="s">
        <v>35</v>
      </c>
      <c r="Z62" t="s">
        <v>36</v>
      </c>
      <c r="AB62" s="4"/>
      <c r="AC62" t="s">
        <v>1649</v>
      </c>
      <c r="AD62" t="s">
        <v>1651</v>
      </c>
      <c r="AE62" t="s">
        <v>37</v>
      </c>
    </row>
    <row r="63" spans="1:31" x14ac:dyDescent="0.3">
      <c r="A63" t="s">
        <v>402</v>
      </c>
      <c r="B63" s="4">
        <v>45581</v>
      </c>
      <c r="C63" t="s">
        <v>1646</v>
      </c>
      <c r="D63" t="s">
        <v>403</v>
      </c>
      <c r="E63" t="s">
        <v>26</v>
      </c>
      <c r="F63" t="s">
        <v>404</v>
      </c>
      <c r="G63" t="s">
        <v>28</v>
      </c>
      <c r="H63" t="s">
        <v>405</v>
      </c>
      <c r="I63">
        <v>1899</v>
      </c>
      <c r="J63">
        <v>1</v>
      </c>
      <c r="K63" t="s">
        <v>1647</v>
      </c>
      <c r="L63">
        <v>1899</v>
      </c>
      <c r="M63">
        <v>1519.2</v>
      </c>
      <c r="N63" t="s">
        <v>44</v>
      </c>
      <c r="O63">
        <v>20</v>
      </c>
      <c r="P63">
        <v>379.8</v>
      </c>
      <c r="Q63" t="s">
        <v>30</v>
      </c>
      <c r="R63" t="s">
        <v>71</v>
      </c>
      <c r="S63" t="s">
        <v>129</v>
      </c>
      <c r="T63" t="s">
        <v>130</v>
      </c>
      <c r="U63" t="s">
        <v>47</v>
      </c>
      <c r="V63" s="4">
        <v>45592</v>
      </c>
      <c r="W63" t="s">
        <v>1648</v>
      </c>
      <c r="X63" t="s">
        <v>1650</v>
      </c>
      <c r="Y63" t="s">
        <v>35</v>
      </c>
      <c r="Z63" t="s">
        <v>49</v>
      </c>
      <c r="AA63" t="s">
        <v>89</v>
      </c>
      <c r="AB63" s="4">
        <v>45616</v>
      </c>
      <c r="AC63" t="s">
        <v>1652</v>
      </c>
      <c r="AD63" t="s">
        <v>1653</v>
      </c>
      <c r="AE63" t="s">
        <v>52</v>
      </c>
    </row>
    <row r="64" spans="1:31" x14ac:dyDescent="0.3">
      <c r="A64" t="s">
        <v>406</v>
      </c>
      <c r="B64" s="4">
        <v>45582</v>
      </c>
      <c r="C64" t="s">
        <v>1646</v>
      </c>
      <c r="D64" t="s">
        <v>407</v>
      </c>
      <c r="E64" t="s">
        <v>26</v>
      </c>
      <c r="F64" t="s">
        <v>408</v>
      </c>
      <c r="G64" t="s">
        <v>67</v>
      </c>
      <c r="H64" t="s">
        <v>409</v>
      </c>
      <c r="I64">
        <v>1299</v>
      </c>
      <c r="J64">
        <v>1</v>
      </c>
      <c r="K64" t="s">
        <v>1647</v>
      </c>
      <c r="L64">
        <v>1299</v>
      </c>
      <c r="M64">
        <v>1299</v>
      </c>
      <c r="O64">
        <v>0</v>
      </c>
      <c r="P64">
        <v>0</v>
      </c>
      <c r="Q64" t="s">
        <v>70</v>
      </c>
      <c r="R64" t="s">
        <v>46</v>
      </c>
      <c r="S64" t="s">
        <v>61</v>
      </c>
      <c r="T64" t="s">
        <v>62</v>
      </c>
      <c r="U64" t="s">
        <v>61</v>
      </c>
      <c r="V64" s="4">
        <v>45593</v>
      </c>
      <c r="W64" t="s">
        <v>1648</v>
      </c>
      <c r="X64" t="s">
        <v>1650</v>
      </c>
      <c r="Y64" t="s">
        <v>35</v>
      </c>
      <c r="Z64" t="s">
        <v>36</v>
      </c>
      <c r="AB64" s="4"/>
      <c r="AC64" t="s">
        <v>1649</v>
      </c>
      <c r="AD64" t="s">
        <v>1651</v>
      </c>
      <c r="AE64" t="s">
        <v>37</v>
      </c>
    </row>
    <row r="65" spans="1:31" x14ac:dyDescent="0.3">
      <c r="A65" t="s">
        <v>410</v>
      </c>
      <c r="B65" s="4">
        <v>45582</v>
      </c>
      <c r="C65" t="s">
        <v>1646</v>
      </c>
      <c r="D65" t="s">
        <v>411</v>
      </c>
      <c r="E65" t="s">
        <v>26</v>
      </c>
      <c r="F65" t="s">
        <v>412</v>
      </c>
      <c r="G65" t="s">
        <v>79</v>
      </c>
      <c r="H65" t="s">
        <v>413</v>
      </c>
      <c r="I65">
        <v>1599</v>
      </c>
      <c r="J65">
        <v>1</v>
      </c>
      <c r="K65" t="s">
        <v>1647</v>
      </c>
      <c r="L65">
        <v>1599</v>
      </c>
      <c r="M65">
        <v>1599</v>
      </c>
      <c r="O65">
        <v>0</v>
      </c>
      <c r="P65">
        <v>0</v>
      </c>
      <c r="Q65" t="s">
        <v>45</v>
      </c>
      <c r="R65" t="s">
        <v>31</v>
      </c>
      <c r="S65" t="s">
        <v>32</v>
      </c>
      <c r="T65" t="s">
        <v>33</v>
      </c>
      <c r="U65" t="s">
        <v>32</v>
      </c>
      <c r="V65" s="4">
        <v>45592</v>
      </c>
      <c r="W65" t="s">
        <v>1648</v>
      </c>
      <c r="X65" t="s">
        <v>1650</v>
      </c>
      <c r="Y65" t="s">
        <v>35</v>
      </c>
      <c r="Z65" t="s">
        <v>49</v>
      </c>
      <c r="AA65" t="s">
        <v>158</v>
      </c>
      <c r="AB65" s="4">
        <v>45618</v>
      </c>
      <c r="AC65" t="s">
        <v>1652</v>
      </c>
      <c r="AD65" t="s">
        <v>1653</v>
      </c>
      <c r="AE65" t="s">
        <v>52</v>
      </c>
    </row>
    <row r="66" spans="1:31" x14ac:dyDescent="0.3">
      <c r="A66" t="s">
        <v>414</v>
      </c>
      <c r="B66" s="4">
        <v>45582</v>
      </c>
      <c r="C66" t="s">
        <v>1646</v>
      </c>
      <c r="D66" t="s">
        <v>415</v>
      </c>
      <c r="E66" t="s">
        <v>40</v>
      </c>
      <c r="F66" t="s">
        <v>416</v>
      </c>
      <c r="G66" t="s">
        <v>58</v>
      </c>
      <c r="H66" t="s">
        <v>417</v>
      </c>
      <c r="I66">
        <v>2099</v>
      </c>
      <c r="J66">
        <v>1</v>
      </c>
      <c r="K66" t="s">
        <v>1647</v>
      </c>
      <c r="L66">
        <v>2099</v>
      </c>
      <c r="M66">
        <v>1784.15</v>
      </c>
      <c r="N66" t="s">
        <v>69</v>
      </c>
      <c r="O66">
        <v>15</v>
      </c>
      <c r="P66">
        <v>314.85000000000002</v>
      </c>
      <c r="Q66" t="s">
        <v>30</v>
      </c>
      <c r="R66" t="s">
        <v>71</v>
      </c>
      <c r="S66" t="s">
        <v>47</v>
      </c>
      <c r="T66" t="s">
        <v>47</v>
      </c>
      <c r="U66" t="s">
        <v>47</v>
      </c>
      <c r="V66" s="4">
        <v>45594</v>
      </c>
      <c r="W66" t="s">
        <v>1648</v>
      </c>
      <c r="X66" t="s">
        <v>1650</v>
      </c>
      <c r="Y66" t="s">
        <v>35</v>
      </c>
      <c r="Z66" t="s">
        <v>36</v>
      </c>
      <c r="AB66" s="4"/>
      <c r="AC66" t="s">
        <v>1649</v>
      </c>
      <c r="AD66" t="s">
        <v>1651</v>
      </c>
      <c r="AE66" t="s">
        <v>37</v>
      </c>
    </row>
    <row r="67" spans="1:31" x14ac:dyDescent="0.3">
      <c r="A67" t="s">
        <v>419</v>
      </c>
      <c r="B67" s="4">
        <v>45582</v>
      </c>
      <c r="C67" t="s">
        <v>1646</v>
      </c>
      <c r="D67" t="s">
        <v>420</v>
      </c>
      <c r="E67" t="s">
        <v>26</v>
      </c>
      <c r="F67" t="s">
        <v>421</v>
      </c>
      <c r="G67" t="s">
        <v>42</v>
      </c>
      <c r="H67" t="s">
        <v>422</v>
      </c>
      <c r="I67">
        <v>2299</v>
      </c>
      <c r="J67">
        <v>1</v>
      </c>
      <c r="K67" t="s">
        <v>1647</v>
      </c>
      <c r="L67">
        <v>2299</v>
      </c>
      <c r="M67">
        <v>2299</v>
      </c>
      <c r="O67">
        <v>0</v>
      </c>
      <c r="P67">
        <v>0</v>
      </c>
      <c r="Q67" t="s">
        <v>60</v>
      </c>
      <c r="R67" t="s">
        <v>46</v>
      </c>
      <c r="S67" t="s">
        <v>135</v>
      </c>
      <c r="T67" t="s">
        <v>136</v>
      </c>
      <c r="U67" t="s">
        <v>47</v>
      </c>
      <c r="V67" s="4"/>
      <c r="W67" t="s">
        <v>1656</v>
      </c>
      <c r="X67" t="s">
        <v>1657</v>
      </c>
      <c r="Y67" t="s">
        <v>137</v>
      </c>
      <c r="Z67" t="s">
        <v>36</v>
      </c>
      <c r="AB67" s="4"/>
      <c r="AC67" t="s">
        <v>1656</v>
      </c>
      <c r="AD67" t="s">
        <v>1651</v>
      </c>
      <c r="AE67" t="s">
        <v>37</v>
      </c>
    </row>
    <row r="68" spans="1:31" x14ac:dyDescent="0.3">
      <c r="A68" t="s">
        <v>423</v>
      </c>
      <c r="B68" s="4">
        <v>45583</v>
      </c>
      <c r="C68" t="s">
        <v>1646</v>
      </c>
      <c r="D68" t="s">
        <v>424</v>
      </c>
      <c r="E68" t="s">
        <v>26</v>
      </c>
      <c r="F68" t="s">
        <v>425</v>
      </c>
      <c r="G68" t="s">
        <v>28</v>
      </c>
      <c r="H68" t="s">
        <v>426</v>
      </c>
      <c r="I68">
        <v>1199</v>
      </c>
      <c r="J68">
        <v>2</v>
      </c>
      <c r="K68" t="s">
        <v>1647</v>
      </c>
      <c r="L68">
        <v>2398</v>
      </c>
      <c r="M68">
        <v>2398</v>
      </c>
      <c r="O68">
        <v>0</v>
      </c>
      <c r="P68">
        <v>0</v>
      </c>
      <c r="Q68" t="s">
        <v>128</v>
      </c>
      <c r="R68" t="s">
        <v>31</v>
      </c>
      <c r="S68" t="s">
        <v>156</v>
      </c>
      <c r="T68" t="s">
        <v>130</v>
      </c>
      <c r="U68" t="s">
        <v>47</v>
      </c>
      <c r="V68" s="4">
        <v>45593</v>
      </c>
      <c r="W68" t="s">
        <v>1648</v>
      </c>
      <c r="X68" t="s">
        <v>1650</v>
      </c>
      <c r="Y68" t="s">
        <v>35</v>
      </c>
      <c r="Z68" t="s">
        <v>36</v>
      </c>
      <c r="AB68" s="4"/>
      <c r="AC68" t="s">
        <v>1649</v>
      </c>
      <c r="AD68" t="s">
        <v>1651</v>
      </c>
      <c r="AE68" t="s">
        <v>37</v>
      </c>
    </row>
    <row r="69" spans="1:31" x14ac:dyDescent="0.3">
      <c r="A69" t="s">
        <v>427</v>
      </c>
      <c r="B69" s="4">
        <v>45583</v>
      </c>
      <c r="C69" t="s">
        <v>1646</v>
      </c>
      <c r="D69" t="s">
        <v>428</v>
      </c>
      <c r="E69" t="s">
        <v>26</v>
      </c>
      <c r="F69" t="s">
        <v>429</v>
      </c>
      <c r="G69" t="s">
        <v>67</v>
      </c>
      <c r="H69" t="s">
        <v>430</v>
      </c>
      <c r="I69">
        <v>2599</v>
      </c>
      <c r="J69">
        <v>1</v>
      </c>
      <c r="K69" t="s">
        <v>1647</v>
      </c>
      <c r="L69">
        <v>2599</v>
      </c>
      <c r="M69">
        <v>2079.1999999999998</v>
      </c>
      <c r="N69" t="s">
        <v>44</v>
      </c>
      <c r="O69">
        <v>20</v>
      </c>
      <c r="P69">
        <v>519.79999999999995</v>
      </c>
      <c r="Q69" t="s">
        <v>45</v>
      </c>
      <c r="R69" t="s">
        <v>71</v>
      </c>
      <c r="S69" t="s">
        <v>164</v>
      </c>
      <c r="T69" t="s">
        <v>165</v>
      </c>
      <c r="U69" t="s">
        <v>47</v>
      </c>
      <c r="V69" s="4">
        <v>45595</v>
      </c>
      <c r="W69" t="s">
        <v>1648</v>
      </c>
      <c r="X69" t="s">
        <v>1650</v>
      </c>
      <c r="Y69" t="s">
        <v>35</v>
      </c>
      <c r="Z69" t="s">
        <v>49</v>
      </c>
      <c r="AA69" t="s">
        <v>50</v>
      </c>
      <c r="AB69" s="4">
        <v>45622</v>
      </c>
      <c r="AC69" t="s">
        <v>1652</v>
      </c>
      <c r="AD69" t="s">
        <v>1653</v>
      </c>
      <c r="AE69" t="s">
        <v>52</v>
      </c>
    </row>
    <row r="70" spans="1:31" x14ac:dyDescent="0.3">
      <c r="A70" t="s">
        <v>432</v>
      </c>
      <c r="B70" s="4">
        <v>45583</v>
      </c>
      <c r="C70" t="s">
        <v>1646</v>
      </c>
      <c r="D70" t="s">
        <v>433</v>
      </c>
      <c r="E70" t="s">
        <v>40</v>
      </c>
      <c r="F70" t="s">
        <v>434</v>
      </c>
      <c r="G70" t="s">
        <v>79</v>
      </c>
      <c r="H70" t="s">
        <v>435</v>
      </c>
      <c r="I70">
        <v>299</v>
      </c>
      <c r="J70">
        <v>5</v>
      </c>
      <c r="K70" t="s">
        <v>1647</v>
      </c>
      <c r="L70">
        <v>1495</v>
      </c>
      <c r="M70">
        <v>1495</v>
      </c>
      <c r="O70">
        <v>0</v>
      </c>
      <c r="P70">
        <v>0</v>
      </c>
      <c r="Q70" t="s">
        <v>30</v>
      </c>
      <c r="R70" t="s">
        <v>46</v>
      </c>
      <c r="S70" t="s">
        <v>171</v>
      </c>
      <c r="T70" t="s">
        <v>172</v>
      </c>
      <c r="U70" t="s">
        <v>32</v>
      </c>
      <c r="V70" s="4">
        <v>45592</v>
      </c>
      <c r="W70" t="s">
        <v>1648</v>
      </c>
      <c r="X70" t="s">
        <v>1650</v>
      </c>
      <c r="Y70" t="s">
        <v>35</v>
      </c>
      <c r="Z70" t="s">
        <v>36</v>
      </c>
      <c r="AB70" s="4"/>
      <c r="AC70" t="s">
        <v>1649</v>
      </c>
      <c r="AD70" t="s">
        <v>1651</v>
      </c>
      <c r="AE70" t="s">
        <v>37</v>
      </c>
    </row>
    <row r="71" spans="1:31" x14ac:dyDescent="0.3">
      <c r="A71" t="s">
        <v>436</v>
      </c>
      <c r="B71" s="4">
        <v>45583</v>
      </c>
      <c r="C71" t="s">
        <v>1646</v>
      </c>
      <c r="D71" t="s">
        <v>437</v>
      </c>
      <c r="E71" t="s">
        <v>26</v>
      </c>
      <c r="F71" t="s">
        <v>438</v>
      </c>
      <c r="G71" t="s">
        <v>58</v>
      </c>
      <c r="H71" t="s">
        <v>439</v>
      </c>
      <c r="I71">
        <v>1899</v>
      </c>
      <c r="J71">
        <v>1</v>
      </c>
      <c r="K71" t="s">
        <v>1647</v>
      </c>
      <c r="L71">
        <v>1899</v>
      </c>
      <c r="M71">
        <v>1899</v>
      </c>
      <c r="O71">
        <v>0</v>
      </c>
      <c r="P71">
        <v>0</v>
      </c>
      <c r="Q71" t="s">
        <v>70</v>
      </c>
      <c r="R71" t="s">
        <v>31</v>
      </c>
      <c r="S71" t="s">
        <v>177</v>
      </c>
      <c r="T71" t="s">
        <v>109</v>
      </c>
      <c r="U71" t="s">
        <v>32</v>
      </c>
      <c r="V71" s="4">
        <v>45595</v>
      </c>
      <c r="W71" t="s">
        <v>1648</v>
      </c>
      <c r="X71" t="s">
        <v>1650</v>
      </c>
      <c r="Y71" t="s">
        <v>35</v>
      </c>
      <c r="Z71" t="s">
        <v>49</v>
      </c>
      <c r="AA71" t="s">
        <v>119</v>
      </c>
      <c r="AB71" s="4">
        <v>45624</v>
      </c>
      <c r="AC71" t="s">
        <v>1652</v>
      </c>
      <c r="AD71" t="s">
        <v>1653</v>
      </c>
      <c r="AE71" t="s">
        <v>52</v>
      </c>
    </row>
    <row r="72" spans="1:31" x14ac:dyDescent="0.3">
      <c r="A72" t="s">
        <v>441</v>
      </c>
      <c r="B72" s="4">
        <v>45584</v>
      </c>
      <c r="C72" t="s">
        <v>1646</v>
      </c>
      <c r="D72" t="s">
        <v>442</v>
      </c>
      <c r="E72" t="s">
        <v>26</v>
      </c>
      <c r="F72" t="s">
        <v>443</v>
      </c>
      <c r="G72" t="s">
        <v>42</v>
      </c>
      <c r="H72" t="s">
        <v>444</v>
      </c>
      <c r="I72">
        <v>2199</v>
      </c>
      <c r="J72">
        <v>1</v>
      </c>
      <c r="K72" t="s">
        <v>1647</v>
      </c>
      <c r="L72">
        <v>2199</v>
      </c>
      <c r="M72">
        <v>2199</v>
      </c>
      <c r="O72">
        <v>0</v>
      </c>
      <c r="P72">
        <v>0</v>
      </c>
      <c r="Q72" t="s">
        <v>45</v>
      </c>
      <c r="R72" t="s">
        <v>71</v>
      </c>
      <c r="S72" t="s">
        <v>184</v>
      </c>
      <c r="T72" t="s">
        <v>185</v>
      </c>
      <c r="U72" t="s">
        <v>47</v>
      </c>
      <c r="V72" s="4">
        <v>45596</v>
      </c>
      <c r="W72" t="s">
        <v>1648</v>
      </c>
      <c r="X72" t="s">
        <v>1650</v>
      </c>
      <c r="Y72" t="s">
        <v>35</v>
      </c>
      <c r="Z72" t="s">
        <v>36</v>
      </c>
      <c r="AB72" s="4"/>
      <c r="AC72" t="s">
        <v>1649</v>
      </c>
      <c r="AD72" t="s">
        <v>1651</v>
      </c>
      <c r="AE72" t="s">
        <v>37</v>
      </c>
    </row>
    <row r="73" spans="1:31" x14ac:dyDescent="0.3">
      <c r="A73" t="s">
        <v>446</v>
      </c>
      <c r="B73" s="4">
        <v>45584</v>
      </c>
      <c r="C73" t="s">
        <v>1646</v>
      </c>
      <c r="D73" t="s">
        <v>447</v>
      </c>
      <c r="E73" t="s">
        <v>26</v>
      </c>
      <c r="F73" t="s">
        <v>448</v>
      </c>
      <c r="G73" t="s">
        <v>28</v>
      </c>
      <c r="H73" t="s">
        <v>449</v>
      </c>
      <c r="I73">
        <v>1799</v>
      </c>
      <c r="J73">
        <v>1</v>
      </c>
      <c r="K73" t="s">
        <v>1647</v>
      </c>
      <c r="L73">
        <v>1799</v>
      </c>
      <c r="M73">
        <v>1619.1</v>
      </c>
      <c r="N73" t="s">
        <v>127</v>
      </c>
      <c r="O73">
        <v>10</v>
      </c>
      <c r="P73">
        <v>179.9</v>
      </c>
      <c r="Q73" t="s">
        <v>60</v>
      </c>
      <c r="R73" t="s">
        <v>46</v>
      </c>
      <c r="S73" t="s">
        <v>190</v>
      </c>
      <c r="T73" t="s">
        <v>172</v>
      </c>
      <c r="U73" t="s">
        <v>32</v>
      </c>
      <c r="V73" s="4">
        <v>45594</v>
      </c>
      <c r="W73" t="s">
        <v>1648</v>
      </c>
      <c r="X73" t="s">
        <v>1650</v>
      </c>
      <c r="Y73" t="s">
        <v>35</v>
      </c>
      <c r="Z73" t="s">
        <v>49</v>
      </c>
      <c r="AA73" t="s">
        <v>75</v>
      </c>
      <c r="AB73" s="4">
        <v>45621</v>
      </c>
      <c r="AC73" t="s">
        <v>1652</v>
      </c>
      <c r="AD73" t="s">
        <v>1653</v>
      </c>
      <c r="AE73" t="s">
        <v>52</v>
      </c>
    </row>
    <row r="74" spans="1:31" x14ac:dyDescent="0.3">
      <c r="A74" t="s">
        <v>450</v>
      </c>
      <c r="B74" s="4">
        <v>45584</v>
      </c>
      <c r="C74" t="s">
        <v>1646</v>
      </c>
      <c r="D74" t="s">
        <v>451</v>
      </c>
      <c r="E74" t="s">
        <v>40</v>
      </c>
      <c r="F74" t="s">
        <v>452</v>
      </c>
      <c r="G74" t="s">
        <v>67</v>
      </c>
      <c r="H74" t="s">
        <v>453</v>
      </c>
      <c r="I74">
        <v>4999</v>
      </c>
      <c r="J74">
        <v>1</v>
      </c>
      <c r="K74" t="s">
        <v>1647</v>
      </c>
      <c r="L74">
        <v>4999</v>
      </c>
      <c r="M74">
        <v>4999</v>
      </c>
      <c r="O74">
        <v>0</v>
      </c>
      <c r="P74">
        <v>0</v>
      </c>
      <c r="Q74" t="s">
        <v>30</v>
      </c>
      <c r="R74" t="s">
        <v>31</v>
      </c>
      <c r="S74" t="s">
        <v>195</v>
      </c>
      <c r="T74" t="s">
        <v>33</v>
      </c>
      <c r="U74" t="s">
        <v>32</v>
      </c>
      <c r="V74" s="4">
        <v>45597</v>
      </c>
      <c r="W74" t="s">
        <v>1648</v>
      </c>
      <c r="X74" t="s">
        <v>1650</v>
      </c>
      <c r="Y74" t="s">
        <v>35</v>
      </c>
      <c r="Z74" t="s">
        <v>36</v>
      </c>
      <c r="AB74" s="4"/>
      <c r="AC74" t="s">
        <v>1649</v>
      </c>
      <c r="AD74" t="s">
        <v>1651</v>
      </c>
      <c r="AE74" t="s">
        <v>37</v>
      </c>
    </row>
    <row r="75" spans="1:31" x14ac:dyDescent="0.3">
      <c r="A75" t="s">
        <v>455</v>
      </c>
      <c r="B75" s="4">
        <v>45584</v>
      </c>
      <c r="C75" t="s">
        <v>1646</v>
      </c>
      <c r="D75" t="s">
        <v>456</v>
      </c>
      <c r="E75" t="s">
        <v>26</v>
      </c>
      <c r="F75" t="s">
        <v>457</v>
      </c>
      <c r="G75" t="s">
        <v>79</v>
      </c>
      <c r="H75" t="s">
        <v>458</v>
      </c>
      <c r="I75">
        <v>999</v>
      </c>
      <c r="J75">
        <v>1</v>
      </c>
      <c r="K75" t="s">
        <v>1647</v>
      </c>
      <c r="L75">
        <v>999</v>
      </c>
      <c r="M75">
        <v>999</v>
      </c>
      <c r="O75">
        <v>0</v>
      </c>
      <c r="P75">
        <v>0</v>
      </c>
      <c r="Q75" t="s">
        <v>128</v>
      </c>
      <c r="R75" t="s">
        <v>71</v>
      </c>
      <c r="S75" t="s">
        <v>202</v>
      </c>
      <c r="T75" t="s">
        <v>73</v>
      </c>
      <c r="U75" t="s">
        <v>61</v>
      </c>
      <c r="V75" s="4">
        <v>45595</v>
      </c>
      <c r="W75" t="s">
        <v>1648</v>
      </c>
      <c r="X75" t="s">
        <v>1650</v>
      </c>
      <c r="Y75" t="s">
        <v>35</v>
      </c>
      <c r="Z75" t="s">
        <v>49</v>
      </c>
      <c r="AA75" t="s">
        <v>50</v>
      </c>
      <c r="AB75" s="4">
        <v>45624</v>
      </c>
      <c r="AC75" t="s">
        <v>1652</v>
      </c>
      <c r="AD75" t="s">
        <v>1653</v>
      </c>
      <c r="AE75" t="s">
        <v>52</v>
      </c>
    </row>
    <row r="76" spans="1:31" x14ac:dyDescent="0.3">
      <c r="A76" t="s">
        <v>459</v>
      </c>
      <c r="B76" s="4">
        <v>45585</v>
      </c>
      <c r="C76" t="s">
        <v>1646</v>
      </c>
      <c r="D76" t="s">
        <v>460</v>
      </c>
      <c r="E76" t="s">
        <v>26</v>
      </c>
      <c r="F76" t="s">
        <v>461</v>
      </c>
      <c r="G76" t="s">
        <v>58</v>
      </c>
      <c r="H76" t="s">
        <v>462</v>
      </c>
      <c r="I76">
        <v>1499</v>
      </c>
      <c r="J76">
        <v>1</v>
      </c>
      <c r="K76" t="s">
        <v>1647</v>
      </c>
      <c r="L76">
        <v>1499</v>
      </c>
      <c r="M76">
        <v>1199.2</v>
      </c>
      <c r="N76" t="s">
        <v>44</v>
      </c>
      <c r="O76">
        <v>20</v>
      </c>
      <c r="P76">
        <v>299.8</v>
      </c>
      <c r="Q76" t="s">
        <v>45</v>
      </c>
      <c r="R76" t="s">
        <v>46</v>
      </c>
      <c r="S76" t="s">
        <v>208</v>
      </c>
      <c r="T76" t="s">
        <v>209</v>
      </c>
      <c r="U76" t="s">
        <v>61</v>
      </c>
      <c r="V76" s="4">
        <v>45596</v>
      </c>
      <c r="W76" t="s">
        <v>1648</v>
      </c>
      <c r="X76" t="s">
        <v>1650</v>
      </c>
      <c r="Y76" t="s">
        <v>35</v>
      </c>
      <c r="Z76" t="s">
        <v>36</v>
      </c>
      <c r="AB76" s="4"/>
      <c r="AC76" t="s">
        <v>1649</v>
      </c>
      <c r="AD76" t="s">
        <v>1651</v>
      </c>
      <c r="AE76" t="s">
        <v>37</v>
      </c>
    </row>
    <row r="77" spans="1:31" x14ac:dyDescent="0.3">
      <c r="A77" t="s">
        <v>463</v>
      </c>
      <c r="B77" s="4">
        <v>45585</v>
      </c>
      <c r="C77" t="s">
        <v>1646</v>
      </c>
      <c r="D77" t="s">
        <v>464</v>
      </c>
      <c r="E77" t="s">
        <v>26</v>
      </c>
      <c r="F77" t="s">
        <v>465</v>
      </c>
      <c r="G77" t="s">
        <v>42</v>
      </c>
      <c r="H77" t="s">
        <v>466</v>
      </c>
      <c r="I77">
        <v>2899</v>
      </c>
      <c r="J77">
        <v>1</v>
      </c>
      <c r="K77" t="s">
        <v>1647</v>
      </c>
      <c r="L77">
        <v>2899</v>
      </c>
      <c r="M77">
        <v>2899</v>
      </c>
      <c r="O77">
        <v>0</v>
      </c>
      <c r="P77">
        <v>0</v>
      </c>
      <c r="Q77" t="s">
        <v>70</v>
      </c>
      <c r="R77" t="s">
        <v>31</v>
      </c>
      <c r="S77" t="s">
        <v>215</v>
      </c>
      <c r="T77" t="s">
        <v>216</v>
      </c>
      <c r="U77" t="s">
        <v>61</v>
      </c>
      <c r="V77" s="4">
        <v>45598</v>
      </c>
      <c r="W77" t="s">
        <v>1648</v>
      </c>
      <c r="X77" t="s">
        <v>1650</v>
      </c>
      <c r="Y77" t="s">
        <v>35</v>
      </c>
      <c r="Z77" t="s">
        <v>49</v>
      </c>
      <c r="AA77" t="s">
        <v>89</v>
      </c>
      <c r="AB77" s="4">
        <v>45626</v>
      </c>
      <c r="AC77" t="s">
        <v>1652</v>
      </c>
      <c r="AD77" t="s">
        <v>1653</v>
      </c>
      <c r="AE77" t="s">
        <v>52</v>
      </c>
    </row>
    <row r="78" spans="1:31" x14ac:dyDescent="0.3">
      <c r="A78" t="s">
        <v>468</v>
      </c>
      <c r="B78" s="4">
        <v>45585</v>
      </c>
      <c r="C78" t="s">
        <v>1646</v>
      </c>
      <c r="D78" t="s">
        <v>469</v>
      </c>
      <c r="E78" t="s">
        <v>40</v>
      </c>
      <c r="F78" t="s">
        <v>470</v>
      </c>
      <c r="G78" t="s">
        <v>28</v>
      </c>
      <c r="H78" t="s">
        <v>471</v>
      </c>
      <c r="I78">
        <v>1099</v>
      </c>
      <c r="J78">
        <v>2</v>
      </c>
      <c r="K78" t="s">
        <v>1647</v>
      </c>
      <c r="L78">
        <v>2198</v>
      </c>
      <c r="M78">
        <v>2198</v>
      </c>
      <c r="O78">
        <v>0</v>
      </c>
      <c r="P78">
        <v>0</v>
      </c>
      <c r="Q78" t="s">
        <v>30</v>
      </c>
      <c r="R78" t="s">
        <v>71</v>
      </c>
      <c r="S78" t="s">
        <v>221</v>
      </c>
      <c r="T78" t="s">
        <v>209</v>
      </c>
      <c r="U78" t="s">
        <v>61</v>
      </c>
      <c r="V78" s="4">
        <v>45595</v>
      </c>
      <c r="W78" t="s">
        <v>1648</v>
      </c>
      <c r="X78" t="s">
        <v>1650</v>
      </c>
      <c r="Y78" t="s">
        <v>35</v>
      </c>
      <c r="Z78" t="s">
        <v>36</v>
      </c>
      <c r="AB78" s="4"/>
      <c r="AC78" t="s">
        <v>1649</v>
      </c>
      <c r="AD78" t="s">
        <v>1651</v>
      </c>
      <c r="AE78" t="s">
        <v>37</v>
      </c>
    </row>
    <row r="79" spans="1:31" x14ac:dyDescent="0.3">
      <c r="A79" t="s">
        <v>472</v>
      </c>
      <c r="B79" s="4">
        <v>45585</v>
      </c>
      <c r="C79" t="s">
        <v>1646</v>
      </c>
      <c r="D79" t="s">
        <v>473</v>
      </c>
      <c r="E79" t="s">
        <v>26</v>
      </c>
      <c r="F79" t="s">
        <v>474</v>
      </c>
      <c r="G79" t="s">
        <v>67</v>
      </c>
      <c r="H79" t="s">
        <v>225</v>
      </c>
      <c r="I79">
        <v>5499</v>
      </c>
      <c r="J79">
        <v>1</v>
      </c>
      <c r="K79" t="s">
        <v>1647</v>
      </c>
      <c r="L79">
        <v>5499</v>
      </c>
      <c r="M79">
        <v>4674.1499999999996</v>
      </c>
      <c r="N79" t="s">
        <v>69</v>
      </c>
      <c r="O79">
        <v>15</v>
      </c>
      <c r="P79">
        <v>824.85</v>
      </c>
      <c r="Q79" t="s">
        <v>45</v>
      </c>
      <c r="R79" t="s">
        <v>46</v>
      </c>
      <c r="S79" t="s">
        <v>226</v>
      </c>
      <c r="T79" t="s">
        <v>62</v>
      </c>
      <c r="U79" t="s">
        <v>61</v>
      </c>
      <c r="V79" s="4">
        <v>45599</v>
      </c>
      <c r="W79" t="s">
        <v>1648</v>
      </c>
      <c r="X79" t="s">
        <v>1650</v>
      </c>
      <c r="Y79" t="s">
        <v>35</v>
      </c>
      <c r="Z79" t="s">
        <v>49</v>
      </c>
      <c r="AA79" t="s">
        <v>50</v>
      </c>
      <c r="AB79" s="4">
        <v>45627</v>
      </c>
      <c r="AC79" t="s">
        <v>1652</v>
      </c>
      <c r="AD79" t="s">
        <v>1653</v>
      </c>
      <c r="AE79" t="s">
        <v>52</v>
      </c>
    </row>
    <row r="80" spans="1:31" x14ac:dyDescent="0.3">
      <c r="A80" t="s">
        <v>477</v>
      </c>
      <c r="B80" s="4">
        <v>45586</v>
      </c>
      <c r="C80" t="s">
        <v>1646</v>
      </c>
      <c r="D80" t="s">
        <v>478</v>
      </c>
      <c r="E80" t="s">
        <v>26</v>
      </c>
      <c r="F80" t="s">
        <v>479</v>
      </c>
      <c r="G80" t="s">
        <v>79</v>
      </c>
      <c r="H80" t="s">
        <v>480</v>
      </c>
      <c r="I80">
        <v>799</v>
      </c>
      <c r="J80">
        <v>1</v>
      </c>
      <c r="K80" t="s">
        <v>1647</v>
      </c>
      <c r="L80">
        <v>799</v>
      </c>
      <c r="M80">
        <v>799</v>
      </c>
      <c r="O80">
        <v>0</v>
      </c>
      <c r="P80">
        <v>0</v>
      </c>
      <c r="Q80" t="s">
        <v>60</v>
      </c>
      <c r="R80" t="s">
        <v>31</v>
      </c>
      <c r="S80" t="s">
        <v>233</v>
      </c>
      <c r="T80" t="s">
        <v>109</v>
      </c>
      <c r="U80" t="s">
        <v>32</v>
      </c>
      <c r="V80" s="4"/>
      <c r="W80" t="s">
        <v>1656</v>
      </c>
      <c r="X80" t="s">
        <v>1657</v>
      </c>
      <c r="Y80" t="s">
        <v>137</v>
      </c>
      <c r="Z80" t="s">
        <v>36</v>
      </c>
      <c r="AB80" s="4"/>
      <c r="AC80" t="s">
        <v>1656</v>
      </c>
      <c r="AD80" t="s">
        <v>1651</v>
      </c>
      <c r="AE80" t="s">
        <v>37</v>
      </c>
    </row>
    <row r="81" spans="1:31" x14ac:dyDescent="0.3">
      <c r="A81" t="s">
        <v>481</v>
      </c>
      <c r="B81" s="4">
        <v>45586</v>
      </c>
      <c r="C81" t="s">
        <v>1646</v>
      </c>
      <c r="D81" t="s">
        <v>482</v>
      </c>
      <c r="E81" t="s">
        <v>26</v>
      </c>
      <c r="F81" t="s">
        <v>483</v>
      </c>
      <c r="G81" t="s">
        <v>58</v>
      </c>
      <c r="H81" t="s">
        <v>484</v>
      </c>
      <c r="I81">
        <v>1599</v>
      </c>
      <c r="J81">
        <v>1</v>
      </c>
      <c r="K81" t="s">
        <v>1647</v>
      </c>
      <c r="L81">
        <v>1599</v>
      </c>
      <c r="M81">
        <v>1599</v>
      </c>
      <c r="O81">
        <v>0</v>
      </c>
      <c r="P81">
        <v>0</v>
      </c>
      <c r="Q81" t="s">
        <v>128</v>
      </c>
      <c r="R81" t="s">
        <v>71</v>
      </c>
      <c r="S81" t="s">
        <v>238</v>
      </c>
      <c r="T81" t="s">
        <v>109</v>
      </c>
      <c r="U81" t="s">
        <v>32</v>
      </c>
      <c r="V81" s="4">
        <v>45598</v>
      </c>
      <c r="W81" t="s">
        <v>1648</v>
      </c>
      <c r="X81" t="s">
        <v>1650</v>
      </c>
      <c r="Y81" t="s">
        <v>35</v>
      </c>
      <c r="Z81" t="s">
        <v>36</v>
      </c>
      <c r="AB81" s="4"/>
      <c r="AC81" t="s">
        <v>1649</v>
      </c>
      <c r="AD81" t="s">
        <v>1651</v>
      </c>
      <c r="AE81" t="s">
        <v>37</v>
      </c>
    </row>
    <row r="82" spans="1:31" x14ac:dyDescent="0.3">
      <c r="A82" t="s">
        <v>485</v>
      </c>
      <c r="B82" s="4">
        <v>45586</v>
      </c>
      <c r="C82" t="s">
        <v>1646</v>
      </c>
      <c r="D82" t="s">
        <v>486</v>
      </c>
      <c r="E82" t="s">
        <v>40</v>
      </c>
      <c r="F82" t="s">
        <v>487</v>
      </c>
      <c r="G82" t="s">
        <v>42</v>
      </c>
      <c r="H82" t="s">
        <v>488</v>
      </c>
      <c r="I82">
        <v>2699</v>
      </c>
      <c r="J82">
        <v>1</v>
      </c>
      <c r="K82" t="s">
        <v>1647</v>
      </c>
      <c r="L82">
        <v>2699</v>
      </c>
      <c r="M82">
        <v>2159.1999999999998</v>
      </c>
      <c r="N82" t="s">
        <v>44</v>
      </c>
      <c r="O82">
        <v>20</v>
      </c>
      <c r="P82">
        <v>539.79999999999995</v>
      </c>
      <c r="Q82" t="s">
        <v>45</v>
      </c>
      <c r="R82" t="s">
        <v>46</v>
      </c>
      <c r="S82" t="s">
        <v>243</v>
      </c>
      <c r="T82" t="s">
        <v>130</v>
      </c>
      <c r="U82" t="s">
        <v>47</v>
      </c>
      <c r="V82" s="4">
        <v>45597</v>
      </c>
      <c r="W82" t="s">
        <v>1648</v>
      </c>
      <c r="X82" t="s">
        <v>1650</v>
      </c>
      <c r="Y82" t="s">
        <v>35</v>
      </c>
      <c r="Z82" t="s">
        <v>49</v>
      </c>
      <c r="AA82" t="s">
        <v>75</v>
      </c>
      <c r="AB82" s="4">
        <v>45626</v>
      </c>
      <c r="AC82" t="s">
        <v>1652</v>
      </c>
      <c r="AD82" t="s">
        <v>1653</v>
      </c>
      <c r="AE82" t="s">
        <v>52</v>
      </c>
    </row>
    <row r="83" spans="1:31" x14ac:dyDescent="0.3">
      <c r="A83" t="s">
        <v>489</v>
      </c>
      <c r="B83" s="4">
        <v>45586</v>
      </c>
      <c r="C83" t="s">
        <v>1646</v>
      </c>
      <c r="D83" t="s">
        <v>490</v>
      </c>
      <c r="E83" t="s">
        <v>26</v>
      </c>
      <c r="F83" t="s">
        <v>491</v>
      </c>
      <c r="G83" t="s">
        <v>28</v>
      </c>
      <c r="H83" t="s">
        <v>492</v>
      </c>
      <c r="I83">
        <v>1499</v>
      </c>
      <c r="J83">
        <v>1</v>
      </c>
      <c r="K83" t="s">
        <v>1647</v>
      </c>
      <c r="L83">
        <v>1499</v>
      </c>
      <c r="M83">
        <v>1499</v>
      </c>
      <c r="O83">
        <v>0</v>
      </c>
      <c r="P83">
        <v>0</v>
      </c>
      <c r="Q83" t="s">
        <v>30</v>
      </c>
      <c r="R83" t="s">
        <v>31</v>
      </c>
      <c r="S83" t="s">
        <v>32</v>
      </c>
      <c r="T83" t="s">
        <v>33</v>
      </c>
      <c r="U83" t="s">
        <v>32</v>
      </c>
      <c r="V83" s="4">
        <v>45598</v>
      </c>
      <c r="W83" t="s">
        <v>1648</v>
      </c>
      <c r="X83" t="s">
        <v>1650</v>
      </c>
      <c r="Y83" t="s">
        <v>35</v>
      </c>
      <c r="Z83" t="s">
        <v>36</v>
      </c>
      <c r="AB83" s="4"/>
      <c r="AC83" t="s">
        <v>1649</v>
      </c>
      <c r="AD83" t="s">
        <v>1651</v>
      </c>
      <c r="AE83" t="s">
        <v>37</v>
      </c>
    </row>
    <row r="84" spans="1:31" x14ac:dyDescent="0.3">
      <c r="A84" t="s">
        <v>493</v>
      </c>
      <c r="B84" s="4">
        <v>45587</v>
      </c>
      <c r="C84" t="s">
        <v>1646</v>
      </c>
      <c r="D84" t="s">
        <v>494</v>
      </c>
      <c r="E84" t="s">
        <v>26</v>
      </c>
      <c r="F84" t="s">
        <v>495</v>
      </c>
      <c r="G84" t="s">
        <v>67</v>
      </c>
      <c r="H84" t="s">
        <v>496</v>
      </c>
      <c r="I84">
        <v>3299</v>
      </c>
      <c r="J84">
        <v>1</v>
      </c>
      <c r="K84" t="s">
        <v>1647</v>
      </c>
      <c r="L84">
        <v>3299</v>
      </c>
      <c r="M84">
        <v>3299</v>
      </c>
      <c r="O84">
        <v>0</v>
      </c>
      <c r="P84">
        <v>0</v>
      </c>
      <c r="Q84" t="s">
        <v>70</v>
      </c>
      <c r="R84" t="s">
        <v>71</v>
      </c>
      <c r="S84" t="s">
        <v>47</v>
      </c>
      <c r="T84" t="s">
        <v>47</v>
      </c>
      <c r="U84" t="s">
        <v>47</v>
      </c>
      <c r="V84" s="4">
        <v>45600</v>
      </c>
      <c r="W84" t="s">
        <v>1648</v>
      </c>
      <c r="X84" t="s">
        <v>1650</v>
      </c>
      <c r="Y84" t="s">
        <v>35</v>
      </c>
      <c r="Z84" t="s">
        <v>49</v>
      </c>
      <c r="AA84" t="s">
        <v>119</v>
      </c>
      <c r="AB84" s="4">
        <v>45629</v>
      </c>
      <c r="AC84" t="s">
        <v>1652</v>
      </c>
      <c r="AD84" t="s">
        <v>1653</v>
      </c>
      <c r="AE84" t="s">
        <v>52</v>
      </c>
    </row>
    <row r="85" spans="1:31" x14ac:dyDescent="0.3">
      <c r="A85" t="s">
        <v>499</v>
      </c>
      <c r="B85" s="4">
        <v>45587</v>
      </c>
      <c r="C85" t="s">
        <v>1646</v>
      </c>
      <c r="D85" t="s">
        <v>500</v>
      </c>
      <c r="E85" t="s">
        <v>26</v>
      </c>
      <c r="F85" t="s">
        <v>501</v>
      </c>
      <c r="G85" t="s">
        <v>79</v>
      </c>
      <c r="H85" t="s">
        <v>502</v>
      </c>
      <c r="I85">
        <v>499</v>
      </c>
      <c r="J85">
        <v>2</v>
      </c>
      <c r="K85" t="s">
        <v>1647</v>
      </c>
      <c r="L85">
        <v>998</v>
      </c>
      <c r="M85">
        <v>898.2</v>
      </c>
      <c r="N85" t="s">
        <v>127</v>
      </c>
      <c r="O85">
        <v>10</v>
      </c>
      <c r="P85">
        <v>99.8</v>
      </c>
      <c r="Q85" t="s">
        <v>45</v>
      </c>
      <c r="R85" t="s">
        <v>46</v>
      </c>
      <c r="S85" t="s">
        <v>101</v>
      </c>
      <c r="T85" t="s">
        <v>102</v>
      </c>
      <c r="U85" t="s">
        <v>47</v>
      </c>
      <c r="V85" s="4">
        <v>45597</v>
      </c>
      <c r="W85" t="s">
        <v>1648</v>
      </c>
      <c r="X85" t="s">
        <v>1650</v>
      </c>
      <c r="Y85" t="s">
        <v>35</v>
      </c>
      <c r="Z85" t="s">
        <v>36</v>
      </c>
      <c r="AB85" s="4"/>
      <c r="AC85" t="s">
        <v>1649</v>
      </c>
      <c r="AD85" t="s">
        <v>1651</v>
      </c>
      <c r="AE85" t="s">
        <v>37</v>
      </c>
    </row>
    <row r="86" spans="1:31" x14ac:dyDescent="0.3">
      <c r="A86" t="s">
        <v>503</v>
      </c>
      <c r="B86" s="4">
        <v>45587</v>
      </c>
      <c r="C86" t="s">
        <v>1646</v>
      </c>
      <c r="D86" t="s">
        <v>504</v>
      </c>
      <c r="E86" t="s">
        <v>40</v>
      </c>
      <c r="F86" t="s">
        <v>505</v>
      </c>
      <c r="G86" t="s">
        <v>58</v>
      </c>
      <c r="H86" t="s">
        <v>506</v>
      </c>
      <c r="I86">
        <v>2399</v>
      </c>
      <c r="J86">
        <v>1</v>
      </c>
      <c r="K86" t="s">
        <v>1647</v>
      </c>
      <c r="L86">
        <v>2399</v>
      </c>
      <c r="M86">
        <v>2399</v>
      </c>
      <c r="O86">
        <v>0</v>
      </c>
      <c r="P86">
        <v>0</v>
      </c>
      <c r="Q86" t="s">
        <v>30</v>
      </c>
      <c r="R86" t="s">
        <v>31</v>
      </c>
      <c r="S86" t="s">
        <v>72</v>
      </c>
      <c r="T86" t="s">
        <v>73</v>
      </c>
      <c r="U86" t="s">
        <v>61</v>
      </c>
      <c r="V86" s="4">
        <v>45599</v>
      </c>
      <c r="W86" t="s">
        <v>1648</v>
      </c>
      <c r="X86" t="s">
        <v>1650</v>
      </c>
      <c r="Y86" t="s">
        <v>35</v>
      </c>
      <c r="Z86" t="s">
        <v>36</v>
      </c>
      <c r="AB86" s="4"/>
      <c r="AC86" t="s">
        <v>1649</v>
      </c>
      <c r="AD86" t="s">
        <v>1651</v>
      </c>
      <c r="AE86" t="s">
        <v>37</v>
      </c>
    </row>
    <row r="87" spans="1:31" x14ac:dyDescent="0.3">
      <c r="A87" t="s">
        <v>507</v>
      </c>
      <c r="B87" s="4">
        <v>45587</v>
      </c>
      <c r="C87" t="s">
        <v>1646</v>
      </c>
      <c r="D87" t="s">
        <v>508</v>
      </c>
      <c r="E87" t="s">
        <v>26</v>
      </c>
      <c r="F87" t="s">
        <v>509</v>
      </c>
      <c r="G87" t="s">
        <v>42</v>
      </c>
      <c r="H87" t="s">
        <v>510</v>
      </c>
      <c r="I87">
        <v>2599</v>
      </c>
      <c r="J87">
        <v>1</v>
      </c>
      <c r="K87" t="s">
        <v>1647</v>
      </c>
      <c r="L87">
        <v>2599</v>
      </c>
      <c r="M87">
        <v>2599</v>
      </c>
      <c r="O87">
        <v>0</v>
      </c>
      <c r="P87">
        <v>0</v>
      </c>
      <c r="Q87" t="s">
        <v>60</v>
      </c>
      <c r="R87" t="s">
        <v>71</v>
      </c>
      <c r="S87" t="s">
        <v>86</v>
      </c>
      <c r="T87" t="s">
        <v>87</v>
      </c>
      <c r="U87" t="s">
        <v>61</v>
      </c>
      <c r="V87" s="4"/>
      <c r="W87" t="s">
        <v>1656</v>
      </c>
      <c r="X87" t="s">
        <v>1657</v>
      </c>
      <c r="Y87" t="s">
        <v>137</v>
      </c>
      <c r="Z87" t="s">
        <v>36</v>
      </c>
      <c r="AB87" s="4"/>
      <c r="AC87" t="s">
        <v>1656</v>
      </c>
      <c r="AD87" t="s">
        <v>1651</v>
      </c>
      <c r="AE87" t="s">
        <v>37</v>
      </c>
    </row>
    <row r="88" spans="1:31" x14ac:dyDescent="0.3">
      <c r="A88" t="s">
        <v>511</v>
      </c>
      <c r="B88" s="4">
        <v>45588</v>
      </c>
      <c r="C88" t="s">
        <v>1646</v>
      </c>
      <c r="D88" t="s">
        <v>512</v>
      </c>
      <c r="E88" t="s">
        <v>26</v>
      </c>
      <c r="F88" t="s">
        <v>513</v>
      </c>
      <c r="G88" t="s">
        <v>28</v>
      </c>
      <c r="H88" t="s">
        <v>514</v>
      </c>
      <c r="I88">
        <v>1399</v>
      </c>
      <c r="J88">
        <v>1</v>
      </c>
      <c r="K88" t="s">
        <v>1647</v>
      </c>
      <c r="L88">
        <v>1399</v>
      </c>
      <c r="M88">
        <v>1119.2</v>
      </c>
      <c r="N88" t="s">
        <v>44</v>
      </c>
      <c r="O88">
        <v>20</v>
      </c>
      <c r="P88">
        <v>279.8</v>
      </c>
      <c r="Q88" t="s">
        <v>128</v>
      </c>
      <c r="R88" t="s">
        <v>46</v>
      </c>
      <c r="S88" t="s">
        <v>95</v>
      </c>
      <c r="T88" t="s">
        <v>33</v>
      </c>
      <c r="U88" t="s">
        <v>32</v>
      </c>
      <c r="V88" s="4">
        <v>45599</v>
      </c>
      <c r="W88" t="s">
        <v>1648</v>
      </c>
      <c r="X88" t="s">
        <v>1650</v>
      </c>
      <c r="Y88" t="s">
        <v>35</v>
      </c>
      <c r="Z88" t="s">
        <v>49</v>
      </c>
      <c r="AA88" t="s">
        <v>50</v>
      </c>
      <c r="AB88" s="4">
        <v>45628</v>
      </c>
      <c r="AC88" t="s">
        <v>1652</v>
      </c>
      <c r="AD88" t="s">
        <v>1653</v>
      </c>
      <c r="AE88" t="s">
        <v>52</v>
      </c>
    </row>
    <row r="89" spans="1:31" x14ac:dyDescent="0.3">
      <c r="A89" t="s">
        <v>516</v>
      </c>
      <c r="B89" s="4">
        <v>45588</v>
      </c>
      <c r="C89" t="s">
        <v>1646</v>
      </c>
      <c r="D89" t="s">
        <v>517</v>
      </c>
      <c r="E89" t="s">
        <v>26</v>
      </c>
      <c r="F89" t="s">
        <v>518</v>
      </c>
      <c r="G89" t="s">
        <v>67</v>
      </c>
      <c r="H89" t="s">
        <v>519</v>
      </c>
      <c r="I89">
        <v>4299</v>
      </c>
      <c r="J89">
        <v>1</v>
      </c>
      <c r="K89" t="s">
        <v>1647</v>
      </c>
      <c r="L89">
        <v>4299</v>
      </c>
      <c r="M89">
        <v>4299</v>
      </c>
      <c r="O89">
        <v>0</v>
      </c>
      <c r="P89">
        <v>0</v>
      </c>
      <c r="Q89" t="s">
        <v>45</v>
      </c>
      <c r="R89" t="s">
        <v>31</v>
      </c>
      <c r="S89" t="s">
        <v>108</v>
      </c>
      <c r="T89" t="s">
        <v>109</v>
      </c>
      <c r="U89" t="s">
        <v>32</v>
      </c>
      <c r="V89" s="4">
        <v>45601</v>
      </c>
      <c r="W89" t="s">
        <v>1648</v>
      </c>
      <c r="X89" t="s">
        <v>1650</v>
      </c>
      <c r="Y89" t="s">
        <v>35</v>
      </c>
      <c r="Z89" t="s">
        <v>36</v>
      </c>
      <c r="AB89" s="4"/>
      <c r="AC89" t="s">
        <v>1649</v>
      </c>
      <c r="AD89" t="s">
        <v>1651</v>
      </c>
      <c r="AE89" t="s">
        <v>37</v>
      </c>
    </row>
    <row r="90" spans="1:31" x14ac:dyDescent="0.3">
      <c r="A90" t="s">
        <v>520</v>
      </c>
      <c r="B90" s="4">
        <v>45588</v>
      </c>
      <c r="C90" t="s">
        <v>1646</v>
      </c>
      <c r="D90" t="s">
        <v>521</v>
      </c>
      <c r="E90" t="s">
        <v>40</v>
      </c>
      <c r="F90" t="s">
        <v>522</v>
      </c>
      <c r="G90" t="s">
        <v>79</v>
      </c>
      <c r="H90" t="s">
        <v>523</v>
      </c>
      <c r="I90">
        <v>399</v>
      </c>
      <c r="J90">
        <v>3</v>
      </c>
      <c r="K90" t="s">
        <v>1647</v>
      </c>
      <c r="L90">
        <v>1197</v>
      </c>
      <c r="M90">
        <v>1197</v>
      </c>
      <c r="O90">
        <v>0</v>
      </c>
      <c r="P90">
        <v>0</v>
      </c>
      <c r="Q90" t="s">
        <v>30</v>
      </c>
      <c r="R90" t="s">
        <v>71</v>
      </c>
      <c r="S90" t="s">
        <v>116</v>
      </c>
      <c r="T90" t="s">
        <v>117</v>
      </c>
      <c r="U90" t="s">
        <v>47</v>
      </c>
      <c r="V90" s="4">
        <v>45598</v>
      </c>
      <c r="W90" t="s">
        <v>1648</v>
      </c>
      <c r="X90" t="s">
        <v>1650</v>
      </c>
      <c r="Y90" t="s">
        <v>35</v>
      </c>
      <c r="Z90" t="s">
        <v>36</v>
      </c>
      <c r="AB90" s="4"/>
      <c r="AC90" t="s">
        <v>1649</v>
      </c>
      <c r="AD90" t="s">
        <v>1651</v>
      </c>
      <c r="AE90" t="s">
        <v>37</v>
      </c>
    </row>
    <row r="91" spans="1:31" x14ac:dyDescent="0.3">
      <c r="A91" t="s">
        <v>524</v>
      </c>
      <c r="B91" s="4">
        <v>45588</v>
      </c>
      <c r="C91" t="s">
        <v>1646</v>
      </c>
      <c r="D91" t="s">
        <v>525</v>
      </c>
      <c r="E91" t="s">
        <v>26</v>
      </c>
      <c r="F91" t="s">
        <v>526</v>
      </c>
      <c r="G91" t="s">
        <v>58</v>
      </c>
      <c r="H91" t="s">
        <v>527</v>
      </c>
      <c r="I91">
        <v>2199</v>
      </c>
      <c r="J91">
        <v>1</v>
      </c>
      <c r="K91" t="s">
        <v>1647</v>
      </c>
      <c r="L91">
        <v>2199</v>
      </c>
      <c r="M91">
        <v>1869.15</v>
      </c>
      <c r="N91" t="s">
        <v>69</v>
      </c>
      <c r="O91">
        <v>15</v>
      </c>
      <c r="P91">
        <v>329.85</v>
      </c>
      <c r="Q91" t="s">
        <v>70</v>
      </c>
      <c r="R91" t="s">
        <v>46</v>
      </c>
      <c r="S91" t="s">
        <v>129</v>
      </c>
      <c r="T91" t="s">
        <v>130</v>
      </c>
      <c r="U91" t="s">
        <v>47</v>
      </c>
      <c r="V91" s="4">
        <v>45601</v>
      </c>
      <c r="W91" t="s">
        <v>1648</v>
      </c>
      <c r="X91" t="s">
        <v>1650</v>
      </c>
      <c r="Y91" t="s">
        <v>35</v>
      </c>
      <c r="Z91" t="s">
        <v>49</v>
      </c>
      <c r="AA91" t="s">
        <v>158</v>
      </c>
      <c r="AB91" s="4">
        <v>45631</v>
      </c>
      <c r="AC91" t="s">
        <v>1652</v>
      </c>
      <c r="AD91" t="s">
        <v>1653</v>
      </c>
      <c r="AE91" t="s">
        <v>52</v>
      </c>
    </row>
    <row r="92" spans="1:31" x14ac:dyDescent="0.3">
      <c r="A92" t="s">
        <v>529</v>
      </c>
      <c r="B92" s="4">
        <v>45589</v>
      </c>
      <c r="C92" t="s">
        <v>1646</v>
      </c>
      <c r="D92" t="s">
        <v>530</v>
      </c>
      <c r="E92" t="s">
        <v>26</v>
      </c>
      <c r="F92" t="s">
        <v>531</v>
      </c>
      <c r="G92" t="s">
        <v>42</v>
      </c>
      <c r="H92" t="s">
        <v>532</v>
      </c>
      <c r="I92">
        <v>2399</v>
      </c>
      <c r="J92">
        <v>1</v>
      </c>
      <c r="K92" t="s">
        <v>1647</v>
      </c>
      <c r="L92">
        <v>2399</v>
      </c>
      <c r="M92">
        <v>2399</v>
      </c>
      <c r="O92">
        <v>0</v>
      </c>
      <c r="P92">
        <v>0</v>
      </c>
      <c r="Q92" t="s">
        <v>45</v>
      </c>
      <c r="R92" t="s">
        <v>31</v>
      </c>
      <c r="S92" t="s">
        <v>61</v>
      </c>
      <c r="T92" t="s">
        <v>62</v>
      </c>
      <c r="U92" t="s">
        <v>61</v>
      </c>
      <c r="V92" s="4">
        <v>45600</v>
      </c>
      <c r="W92" t="s">
        <v>1648</v>
      </c>
      <c r="X92" t="s">
        <v>1650</v>
      </c>
      <c r="Y92" t="s">
        <v>35</v>
      </c>
      <c r="Z92" t="s">
        <v>36</v>
      </c>
      <c r="AB92" s="4"/>
      <c r="AC92" t="s">
        <v>1649</v>
      </c>
      <c r="AD92" t="s">
        <v>1651</v>
      </c>
      <c r="AE92" t="s">
        <v>37</v>
      </c>
    </row>
    <row r="93" spans="1:31" x14ac:dyDescent="0.3">
      <c r="A93" t="s">
        <v>533</v>
      </c>
      <c r="B93" s="4">
        <v>45589</v>
      </c>
      <c r="C93" t="s">
        <v>1646</v>
      </c>
      <c r="D93" t="s">
        <v>534</v>
      </c>
      <c r="E93" t="s">
        <v>26</v>
      </c>
      <c r="F93" t="s">
        <v>535</v>
      </c>
      <c r="G93" t="s">
        <v>28</v>
      </c>
      <c r="H93" t="s">
        <v>536</v>
      </c>
      <c r="I93">
        <v>1299</v>
      </c>
      <c r="J93">
        <v>1</v>
      </c>
      <c r="K93" t="s">
        <v>1647</v>
      </c>
      <c r="L93">
        <v>1299</v>
      </c>
      <c r="M93">
        <v>1299</v>
      </c>
      <c r="O93">
        <v>0</v>
      </c>
      <c r="P93">
        <v>0</v>
      </c>
      <c r="Q93" t="s">
        <v>60</v>
      </c>
      <c r="R93" t="s">
        <v>71</v>
      </c>
      <c r="S93" t="s">
        <v>32</v>
      </c>
      <c r="T93" t="s">
        <v>33</v>
      </c>
      <c r="U93" t="s">
        <v>32</v>
      </c>
      <c r="V93" s="4">
        <v>45602</v>
      </c>
      <c r="W93" t="s">
        <v>1648</v>
      </c>
      <c r="X93" t="s">
        <v>1650</v>
      </c>
      <c r="Y93" t="s">
        <v>35</v>
      </c>
      <c r="Z93" t="s">
        <v>49</v>
      </c>
      <c r="AA93" t="s">
        <v>89</v>
      </c>
      <c r="AB93" s="4">
        <v>45631</v>
      </c>
      <c r="AC93" t="s">
        <v>1652</v>
      </c>
      <c r="AD93" t="s">
        <v>1653</v>
      </c>
      <c r="AE93" t="s">
        <v>52</v>
      </c>
    </row>
    <row r="94" spans="1:31" x14ac:dyDescent="0.3">
      <c r="A94" t="s">
        <v>538</v>
      </c>
      <c r="B94" s="4">
        <v>45589</v>
      </c>
      <c r="C94" t="s">
        <v>1646</v>
      </c>
      <c r="D94" t="s">
        <v>539</v>
      </c>
      <c r="E94" t="s">
        <v>40</v>
      </c>
      <c r="F94" t="s">
        <v>540</v>
      </c>
      <c r="G94" t="s">
        <v>67</v>
      </c>
      <c r="H94" t="s">
        <v>541</v>
      </c>
      <c r="I94">
        <v>2799</v>
      </c>
      <c r="J94">
        <v>1</v>
      </c>
      <c r="K94" t="s">
        <v>1647</v>
      </c>
      <c r="L94">
        <v>2799</v>
      </c>
      <c r="M94">
        <v>2239.1999999999998</v>
      </c>
      <c r="N94" t="s">
        <v>44</v>
      </c>
      <c r="O94">
        <v>20</v>
      </c>
      <c r="P94">
        <v>559.79999999999995</v>
      </c>
      <c r="Q94" t="s">
        <v>30</v>
      </c>
      <c r="R94" t="s">
        <v>46</v>
      </c>
      <c r="S94" t="s">
        <v>47</v>
      </c>
      <c r="T94" t="s">
        <v>47</v>
      </c>
      <c r="U94" t="s">
        <v>47</v>
      </c>
      <c r="V94" s="4">
        <v>45601</v>
      </c>
      <c r="W94" t="s">
        <v>1648</v>
      </c>
      <c r="X94" t="s">
        <v>1650</v>
      </c>
      <c r="Y94" t="s">
        <v>35</v>
      </c>
      <c r="Z94" t="s">
        <v>36</v>
      </c>
      <c r="AB94" s="4"/>
      <c r="AC94" t="s">
        <v>1649</v>
      </c>
      <c r="AD94" t="s">
        <v>1651</v>
      </c>
      <c r="AE94" t="s">
        <v>37</v>
      </c>
    </row>
    <row r="95" spans="1:31" x14ac:dyDescent="0.3">
      <c r="A95" t="s">
        <v>542</v>
      </c>
      <c r="B95" s="4">
        <v>45589</v>
      </c>
      <c r="C95" t="s">
        <v>1646</v>
      </c>
      <c r="D95" t="s">
        <v>543</v>
      </c>
      <c r="E95" t="s">
        <v>26</v>
      </c>
      <c r="F95" t="s">
        <v>544</v>
      </c>
      <c r="G95" t="s">
        <v>79</v>
      </c>
      <c r="H95" t="s">
        <v>545</v>
      </c>
      <c r="I95">
        <v>699</v>
      </c>
      <c r="J95">
        <v>1</v>
      </c>
      <c r="K95" t="s">
        <v>1647</v>
      </c>
      <c r="L95">
        <v>699</v>
      </c>
      <c r="M95">
        <v>699</v>
      </c>
      <c r="O95">
        <v>0</v>
      </c>
      <c r="P95">
        <v>0</v>
      </c>
      <c r="Q95" t="s">
        <v>128</v>
      </c>
      <c r="R95" t="s">
        <v>31</v>
      </c>
      <c r="S95" t="s">
        <v>135</v>
      </c>
      <c r="T95" t="s">
        <v>136</v>
      </c>
      <c r="U95" t="s">
        <v>47</v>
      </c>
      <c r="V95" s="4">
        <v>45600</v>
      </c>
      <c r="W95" t="s">
        <v>1648</v>
      </c>
      <c r="X95" t="s">
        <v>1650</v>
      </c>
      <c r="Y95" t="s">
        <v>35</v>
      </c>
      <c r="Z95" t="s">
        <v>36</v>
      </c>
      <c r="AB95" s="4"/>
      <c r="AC95" t="s">
        <v>1649</v>
      </c>
      <c r="AD95" t="s">
        <v>1651</v>
      </c>
      <c r="AE95" t="s">
        <v>37</v>
      </c>
    </row>
    <row r="96" spans="1:31" x14ac:dyDescent="0.3">
      <c r="A96" t="s">
        <v>546</v>
      </c>
      <c r="B96" s="4">
        <v>45590</v>
      </c>
      <c r="C96" t="s">
        <v>1646</v>
      </c>
      <c r="D96" t="s">
        <v>547</v>
      </c>
      <c r="E96" t="s">
        <v>26</v>
      </c>
      <c r="F96" t="s">
        <v>548</v>
      </c>
      <c r="G96" t="s">
        <v>58</v>
      </c>
      <c r="H96" t="s">
        <v>549</v>
      </c>
      <c r="I96">
        <v>1699</v>
      </c>
      <c r="J96">
        <v>1</v>
      </c>
      <c r="K96" t="s">
        <v>1647</v>
      </c>
      <c r="L96">
        <v>1699</v>
      </c>
      <c r="M96">
        <v>1699</v>
      </c>
      <c r="O96">
        <v>0</v>
      </c>
      <c r="P96">
        <v>0</v>
      </c>
      <c r="Q96" t="s">
        <v>70</v>
      </c>
      <c r="R96" t="s">
        <v>71</v>
      </c>
      <c r="S96" t="s">
        <v>156</v>
      </c>
      <c r="T96" t="s">
        <v>130</v>
      </c>
      <c r="U96" t="s">
        <v>47</v>
      </c>
      <c r="V96" s="4">
        <v>45603</v>
      </c>
      <c r="W96" t="s">
        <v>1648</v>
      </c>
      <c r="X96" t="s">
        <v>1650</v>
      </c>
      <c r="Y96" t="s">
        <v>35</v>
      </c>
      <c r="Z96" t="s">
        <v>49</v>
      </c>
      <c r="AA96" t="s">
        <v>50</v>
      </c>
      <c r="AB96" s="4">
        <v>45632</v>
      </c>
      <c r="AC96" t="s">
        <v>1652</v>
      </c>
      <c r="AD96" t="s">
        <v>1653</v>
      </c>
      <c r="AE96" t="s">
        <v>52</v>
      </c>
    </row>
    <row r="97" spans="1:31" x14ac:dyDescent="0.3">
      <c r="A97" t="s">
        <v>552</v>
      </c>
      <c r="B97" s="4">
        <v>45590</v>
      </c>
      <c r="C97" t="s">
        <v>1646</v>
      </c>
      <c r="D97" t="s">
        <v>553</v>
      </c>
      <c r="E97" t="s">
        <v>26</v>
      </c>
      <c r="F97" t="s">
        <v>554</v>
      </c>
      <c r="G97" t="s">
        <v>42</v>
      </c>
      <c r="H97" t="s">
        <v>170</v>
      </c>
      <c r="I97">
        <v>2799</v>
      </c>
      <c r="J97">
        <v>1</v>
      </c>
      <c r="K97" t="s">
        <v>1647</v>
      </c>
      <c r="L97">
        <v>2799</v>
      </c>
      <c r="M97">
        <v>2519.1</v>
      </c>
      <c r="N97" t="s">
        <v>127</v>
      </c>
      <c r="O97">
        <v>10</v>
      </c>
      <c r="P97">
        <v>279.89999999999998</v>
      </c>
      <c r="Q97" t="s">
        <v>45</v>
      </c>
      <c r="R97" t="s">
        <v>46</v>
      </c>
      <c r="S97" t="s">
        <v>164</v>
      </c>
      <c r="T97" t="s">
        <v>165</v>
      </c>
      <c r="U97" t="s">
        <v>47</v>
      </c>
      <c r="V97" s="4">
        <v>45602</v>
      </c>
      <c r="W97" t="s">
        <v>1648</v>
      </c>
      <c r="X97" t="s">
        <v>1650</v>
      </c>
      <c r="Y97" t="s">
        <v>35</v>
      </c>
      <c r="Z97" t="s">
        <v>36</v>
      </c>
      <c r="AB97" s="4"/>
      <c r="AC97" t="s">
        <v>1649</v>
      </c>
      <c r="AD97" t="s">
        <v>1651</v>
      </c>
      <c r="AE97" t="s">
        <v>37</v>
      </c>
    </row>
    <row r="98" spans="1:31" x14ac:dyDescent="0.3">
      <c r="A98" t="s">
        <v>555</v>
      </c>
      <c r="B98" s="4">
        <v>45590</v>
      </c>
      <c r="C98" t="s">
        <v>1646</v>
      </c>
      <c r="D98" t="s">
        <v>556</v>
      </c>
      <c r="E98" t="s">
        <v>40</v>
      </c>
      <c r="F98" t="s">
        <v>557</v>
      </c>
      <c r="G98" t="s">
        <v>28</v>
      </c>
      <c r="H98" t="s">
        <v>558</v>
      </c>
      <c r="I98">
        <v>1199</v>
      </c>
      <c r="J98">
        <v>2</v>
      </c>
      <c r="K98" t="s">
        <v>1647</v>
      </c>
      <c r="L98">
        <v>2398</v>
      </c>
      <c r="M98">
        <v>2398</v>
      </c>
      <c r="O98">
        <v>0</v>
      </c>
      <c r="P98">
        <v>0</v>
      </c>
      <c r="Q98" t="s">
        <v>30</v>
      </c>
      <c r="R98" t="s">
        <v>31</v>
      </c>
      <c r="S98" t="s">
        <v>171</v>
      </c>
      <c r="T98" t="s">
        <v>172</v>
      </c>
      <c r="U98" t="s">
        <v>32</v>
      </c>
      <c r="V98" s="4">
        <v>45601</v>
      </c>
      <c r="W98" t="s">
        <v>1648</v>
      </c>
      <c r="X98" t="s">
        <v>1650</v>
      </c>
      <c r="Y98" t="s">
        <v>35</v>
      </c>
      <c r="Z98" t="s">
        <v>49</v>
      </c>
      <c r="AA98" t="s">
        <v>75</v>
      </c>
      <c r="AB98" s="4">
        <v>45630</v>
      </c>
      <c r="AC98" t="s">
        <v>1652</v>
      </c>
      <c r="AD98" t="s">
        <v>1653</v>
      </c>
      <c r="AE98" t="s">
        <v>52</v>
      </c>
    </row>
    <row r="99" spans="1:31" x14ac:dyDescent="0.3">
      <c r="A99" t="s">
        <v>560</v>
      </c>
      <c r="B99" s="4">
        <v>45590</v>
      </c>
      <c r="C99" t="s">
        <v>1646</v>
      </c>
      <c r="D99" t="s">
        <v>561</v>
      </c>
      <c r="E99" t="s">
        <v>26</v>
      </c>
      <c r="F99" t="s">
        <v>562</v>
      </c>
      <c r="G99" t="s">
        <v>67</v>
      </c>
      <c r="H99" t="s">
        <v>563</v>
      </c>
      <c r="I99">
        <v>5999</v>
      </c>
      <c r="J99">
        <v>1</v>
      </c>
      <c r="K99" t="s">
        <v>1647</v>
      </c>
      <c r="L99">
        <v>5999</v>
      </c>
      <c r="M99">
        <v>5999</v>
      </c>
      <c r="O99">
        <v>0</v>
      </c>
      <c r="P99">
        <v>0</v>
      </c>
      <c r="Q99" t="s">
        <v>45</v>
      </c>
      <c r="R99" t="s">
        <v>71</v>
      </c>
      <c r="S99" t="s">
        <v>177</v>
      </c>
      <c r="T99" t="s">
        <v>109</v>
      </c>
      <c r="U99" t="s">
        <v>32</v>
      </c>
      <c r="V99" s="4">
        <v>45604</v>
      </c>
      <c r="W99" t="s">
        <v>1648</v>
      </c>
      <c r="X99" t="s">
        <v>1650</v>
      </c>
      <c r="Y99" t="s">
        <v>35</v>
      </c>
      <c r="Z99" t="s">
        <v>36</v>
      </c>
      <c r="AB99" s="4"/>
      <c r="AC99" t="s">
        <v>1649</v>
      </c>
      <c r="AD99" t="s">
        <v>1651</v>
      </c>
      <c r="AE99" t="s">
        <v>37</v>
      </c>
    </row>
    <row r="100" spans="1:31" x14ac:dyDescent="0.3">
      <c r="A100" t="s">
        <v>564</v>
      </c>
      <c r="B100" s="4">
        <v>45591</v>
      </c>
      <c r="C100" t="s">
        <v>1646</v>
      </c>
      <c r="D100" t="s">
        <v>565</v>
      </c>
      <c r="E100" t="s">
        <v>26</v>
      </c>
      <c r="F100" t="s">
        <v>566</v>
      </c>
      <c r="G100" t="s">
        <v>79</v>
      </c>
      <c r="H100" t="s">
        <v>567</v>
      </c>
      <c r="I100">
        <v>1799</v>
      </c>
      <c r="J100">
        <v>1</v>
      </c>
      <c r="K100" t="s">
        <v>1647</v>
      </c>
      <c r="L100">
        <v>1799</v>
      </c>
      <c r="M100">
        <v>1439.2</v>
      </c>
      <c r="N100" t="s">
        <v>44</v>
      </c>
      <c r="O100">
        <v>20</v>
      </c>
      <c r="P100">
        <v>359.8</v>
      </c>
      <c r="Q100" t="s">
        <v>60</v>
      </c>
      <c r="R100" t="s">
        <v>46</v>
      </c>
      <c r="S100" t="s">
        <v>184</v>
      </c>
      <c r="T100" t="s">
        <v>185</v>
      </c>
      <c r="U100" t="s">
        <v>47</v>
      </c>
      <c r="V100" s="4"/>
      <c r="W100" t="s">
        <v>1656</v>
      </c>
      <c r="X100" t="s">
        <v>1657</v>
      </c>
      <c r="Y100" t="s">
        <v>137</v>
      </c>
      <c r="Z100" t="s">
        <v>36</v>
      </c>
      <c r="AB100" s="4"/>
      <c r="AC100" t="s">
        <v>1656</v>
      </c>
      <c r="AD100" t="s">
        <v>1651</v>
      </c>
      <c r="AE100" t="s">
        <v>37</v>
      </c>
    </row>
    <row r="101" spans="1:31" x14ac:dyDescent="0.3">
      <c r="A101" t="s">
        <v>568</v>
      </c>
      <c r="B101" s="4">
        <v>45591</v>
      </c>
      <c r="C101" t="s">
        <v>1646</v>
      </c>
      <c r="D101" t="s">
        <v>569</v>
      </c>
      <c r="E101" t="s">
        <v>26</v>
      </c>
      <c r="F101" t="s">
        <v>570</v>
      </c>
      <c r="G101" t="s">
        <v>58</v>
      </c>
      <c r="H101" t="s">
        <v>571</v>
      </c>
      <c r="I101">
        <v>1999</v>
      </c>
      <c r="J101">
        <v>1</v>
      </c>
      <c r="K101" t="s">
        <v>1647</v>
      </c>
      <c r="L101">
        <v>1999</v>
      </c>
      <c r="M101">
        <v>1999</v>
      </c>
      <c r="O101">
        <v>0</v>
      </c>
      <c r="P101">
        <v>0</v>
      </c>
      <c r="Q101" t="s">
        <v>128</v>
      </c>
      <c r="R101" t="s">
        <v>31</v>
      </c>
      <c r="S101" t="s">
        <v>190</v>
      </c>
      <c r="T101" t="s">
        <v>172</v>
      </c>
      <c r="U101" t="s">
        <v>32</v>
      </c>
      <c r="V101" s="4">
        <v>45603</v>
      </c>
      <c r="W101" t="s">
        <v>1648</v>
      </c>
      <c r="X101" t="s">
        <v>1650</v>
      </c>
      <c r="Y101" t="s">
        <v>35</v>
      </c>
      <c r="Z101" t="s">
        <v>49</v>
      </c>
      <c r="AA101" t="s">
        <v>119</v>
      </c>
      <c r="AB101" s="4">
        <v>45633</v>
      </c>
      <c r="AC101" t="s">
        <v>1652</v>
      </c>
      <c r="AD101" t="s">
        <v>1653</v>
      </c>
      <c r="AE101" t="s">
        <v>52</v>
      </c>
    </row>
    <row r="102" spans="1:31" x14ac:dyDescent="0.3">
      <c r="A102" t="s">
        <v>573</v>
      </c>
      <c r="B102" s="4">
        <v>45591</v>
      </c>
      <c r="C102" t="s">
        <v>1646</v>
      </c>
      <c r="D102" t="s">
        <v>574</v>
      </c>
      <c r="E102" t="s">
        <v>40</v>
      </c>
      <c r="F102" t="s">
        <v>575</v>
      </c>
      <c r="G102" t="s">
        <v>42</v>
      </c>
      <c r="H102" t="s">
        <v>576</v>
      </c>
      <c r="I102">
        <v>2499</v>
      </c>
      <c r="J102">
        <v>1</v>
      </c>
      <c r="K102" t="s">
        <v>1647</v>
      </c>
      <c r="L102">
        <v>2499</v>
      </c>
      <c r="M102">
        <v>2499</v>
      </c>
      <c r="O102">
        <v>0</v>
      </c>
      <c r="P102">
        <v>0</v>
      </c>
      <c r="Q102" t="s">
        <v>70</v>
      </c>
      <c r="R102" t="s">
        <v>71</v>
      </c>
      <c r="S102" t="s">
        <v>195</v>
      </c>
      <c r="T102" t="s">
        <v>33</v>
      </c>
      <c r="U102" t="s">
        <v>32</v>
      </c>
      <c r="V102" s="4">
        <v>45604</v>
      </c>
      <c r="W102" t="s">
        <v>1648</v>
      </c>
      <c r="X102" t="s">
        <v>1650</v>
      </c>
      <c r="Y102" t="s">
        <v>35</v>
      </c>
      <c r="Z102" t="s">
        <v>36</v>
      </c>
      <c r="AB102" s="4"/>
      <c r="AC102" t="s">
        <v>1649</v>
      </c>
      <c r="AD102" t="s">
        <v>1651</v>
      </c>
      <c r="AE102" t="s">
        <v>37</v>
      </c>
    </row>
    <row r="103" spans="1:31" x14ac:dyDescent="0.3">
      <c r="A103" t="s">
        <v>577</v>
      </c>
      <c r="B103" s="4">
        <v>45591</v>
      </c>
      <c r="C103" t="s">
        <v>1646</v>
      </c>
      <c r="D103" t="s">
        <v>578</v>
      </c>
      <c r="E103" t="s">
        <v>26</v>
      </c>
      <c r="F103" t="s">
        <v>579</v>
      </c>
      <c r="G103" t="s">
        <v>28</v>
      </c>
      <c r="H103" t="s">
        <v>580</v>
      </c>
      <c r="I103">
        <v>1599</v>
      </c>
      <c r="J103">
        <v>1</v>
      </c>
      <c r="K103" t="s">
        <v>1647</v>
      </c>
      <c r="L103">
        <v>1599</v>
      </c>
      <c r="M103">
        <v>1359.15</v>
      </c>
      <c r="N103" t="s">
        <v>69</v>
      </c>
      <c r="O103">
        <v>15</v>
      </c>
      <c r="P103">
        <v>239.85</v>
      </c>
      <c r="Q103" t="s">
        <v>30</v>
      </c>
      <c r="R103" t="s">
        <v>46</v>
      </c>
      <c r="S103" t="s">
        <v>202</v>
      </c>
      <c r="T103" t="s">
        <v>73</v>
      </c>
      <c r="U103" t="s">
        <v>61</v>
      </c>
      <c r="V103" s="4">
        <v>45602</v>
      </c>
      <c r="W103" t="s">
        <v>1648</v>
      </c>
      <c r="X103" t="s">
        <v>1650</v>
      </c>
      <c r="Y103" t="s">
        <v>35</v>
      </c>
      <c r="Z103" t="s">
        <v>49</v>
      </c>
      <c r="AA103" t="s">
        <v>50</v>
      </c>
      <c r="AB103" s="4">
        <v>45631</v>
      </c>
      <c r="AC103" t="s">
        <v>1652</v>
      </c>
      <c r="AD103" t="s">
        <v>1653</v>
      </c>
      <c r="AE103" t="s">
        <v>52</v>
      </c>
    </row>
    <row r="104" spans="1:31" x14ac:dyDescent="0.3">
      <c r="A104" t="s">
        <v>581</v>
      </c>
      <c r="B104" s="4">
        <v>45592</v>
      </c>
      <c r="C104" t="s">
        <v>1646</v>
      </c>
      <c r="D104" t="s">
        <v>582</v>
      </c>
      <c r="E104" t="s">
        <v>26</v>
      </c>
      <c r="F104" t="s">
        <v>583</v>
      </c>
      <c r="G104" t="s">
        <v>67</v>
      </c>
      <c r="H104" t="s">
        <v>584</v>
      </c>
      <c r="I104">
        <v>3999</v>
      </c>
      <c r="J104">
        <v>1</v>
      </c>
      <c r="K104" t="s">
        <v>1647</v>
      </c>
      <c r="L104">
        <v>3999</v>
      </c>
      <c r="M104">
        <v>3999</v>
      </c>
      <c r="O104">
        <v>0</v>
      </c>
      <c r="P104">
        <v>0</v>
      </c>
      <c r="Q104" t="s">
        <v>45</v>
      </c>
      <c r="R104" t="s">
        <v>31</v>
      </c>
      <c r="S104" t="s">
        <v>208</v>
      </c>
      <c r="T104" t="s">
        <v>209</v>
      </c>
      <c r="U104" t="s">
        <v>61</v>
      </c>
      <c r="V104" s="4">
        <v>45605</v>
      </c>
      <c r="W104" t="s">
        <v>1648</v>
      </c>
      <c r="X104" t="s">
        <v>1650</v>
      </c>
      <c r="Y104" t="s">
        <v>35</v>
      </c>
      <c r="Z104" t="s">
        <v>36</v>
      </c>
      <c r="AB104" s="4"/>
      <c r="AC104" t="s">
        <v>1649</v>
      </c>
      <c r="AD104" t="s">
        <v>1651</v>
      </c>
      <c r="AE104" t="s">
        <v>37</v>
      </c>
    </row>
    <row r="105" spans="1:31" x14ac:dyDescent="0.3">
      <c r="A105" t="s">
        <v>586</v>
      </c>
      <c r="B105" s="4">
        <v>45592</v>
      </c>
      <c r="C105" t="s">
        <v>1646</v>
      </c>
      <c r="D105" t="s">
        <v>587</v>
      </c>
      <c r="E105" t="s">
        <v>26</v>
      </c>
      <c r="F105" t="s">
        <v>588</v>
      </c>
      <c r="G105" t="s">
        <v>79</v>
      </c>
      <c r="H105" t="s">
        <v>589</v>
      </c>
      <c r="I105">
        <v>599</v>
      </c>
      <c r="J105">
        <v>2</v>
      </c>
      <c r="K105" t="s">
        <v>1647</v>
      </c>
      <c r="L105">
        <v>1198</v>
      </c>
      <c r="M105">
        <v>1198</v>
      </c>
      <c r="O105">
        <v>0</v>
      </c>
      <c r="P105">
        <v>0</v>
      </c>
      <c r="Q105" t="s">
        <v>60</v>
      </c>
      <c r="R105" t="s">
        <v>71</v>
      </c>
      <c r="S105" t="s">
        <v>215</v>
      </c>
      <c r="T105" t="s">
        <v>216</v>
      </c>
      <c r="U105" t="s">
        <v>61</v>
      </c>
      <c r="V105" s="4">
        <v>45603</v>
      </c>
      <c r="W105" t="s">
        <v>1648</v>
      </c>
      <c r="X105" t="s">
        <v>1650</v>
      </c>
      <c r="Y105" t="s">
        <v>35</v>
      </c>
      <c r="Z105" t="s">
        <v>49</v>
      </c>
      <c r="AA105" t="s">
        <v>158</v>
      </c>
      <c r="AB105" s="4">
        <v>45632</v>
      </c>
      <c r="AC105" t="s">
        <v>1652</v>
      </c>
      <c r="AD105" t="s">
        <v>1653</v>
      </c>
      <c r="AE105" t="s">
        <v>52</v>
      </c>
    </row>
    <row r="106" spans="1:31" x14ac:dyDescent="0.3">
      <c r="A106" t="s">
        <v>590</v>
      </c>
      <c r="B106" s="4">
        <v>45592</v>
      </c>
      <c r="C106" t="s">
        <v>1646</v>
      </c>
      <c r="D106" t="s">
        <v>591</v>
      </c>
      <c r="E106" t="s">
        <v>40</v>
      </c>
      <c r="F106" t="s">
        <v>592</v>
      </c>
      <c r="G106" t="s">
        <v>58</v>
      </c>
      <c r="H106" t="s">
        <v>593</v>
      </c>
      <c r="I106">
        <v>1799</v>
      </c>
      <c r="J106">
        <v>1</v>
      </c>
      <c r="K106" t="s">
        <v>1647</v>
      </c>
      <c r="L106">
        <v>1799</v>
      </c>
      <c r="M106">
        <v>1439.2</v>
      </c>
      <c r="N106" t="s">
        <v>44</v>
      </c>
      <c r="O106">
        <v>20</v>
      </c>
      <c r="P106">
        <v>359.8</v>
      </c>
      <c r="Q106" t="s">
        <v>30</v>
      </c>
      <c r="R106" t="s">
        <v>46</v>
      </c>
      <c r="S106" t="s">
        <v>221</v>
      </c>
      <c r="T106" t="s">
        <v>209</v>
      </c>
      <c r="U106" t="s">
        <v>61</v>
      </c>
      <c r="V106" s="4">
        <v>45604</v>
      </c>
      <c r="W106" t="s">
        <v>1648</v>
      </c>
      <c r="X106" t="s">
        <v>1650</v>
      </c>
      <c r="Y106" t="s">
        <v>35</v>
      </c>
      <c r="Z106" t="s">
        <v>36</v>
      </c>
      <c r="AB106" s="4"/>
      <c r="AC106" t="s">
        <v>1649</v>
      </c>
      <c r="AD106" t="s">
        <v>1651</v>
      </c>
      <c r="AE106" t="s">
        <v>37</v>
      </c>
    </row>
    <row r="107" spans="1:31" x14ac:dyDescent="0.3">
      <c r="A107" t="s">
        <v>594</v>
      </c>
      <c r="B107" s="4">
        <v>45593</v>
      </c>
      <c r="C107" t="s">
        <v>1646</v>
      </c>
      <c r="D107" t="s">
        <v>595</v>
      </c>
      <c r="E107" t="s">
        <v>26</v>
      </c>
      <c r="F107" t="s">
        <v>596</v>
      </c>
      <c r="G107" t="s">
        <v>42</v>
      </c>
      <c r="H107" t="s">
        <v>597</v>
      </c>
      <c r="I107">
        <v>3499</v>
      </c>
      <c r="J107">
        <v>1</v>
      </c>
      <c r="K107" t="s">
        <v>1647</v>
      </c>
      <c r="L107">
        <v>3499</v>
      </c>
      <c r="M107">
        <v>2099.4</v>
      </c>
      <c r="N107" t="s">
        <v>598</v>
      </c>
      <c r="O107">
        <v>40</v>
      </c>
      <c r="P107">
        <v>1399.6</v>
      </c>
      <c r="Q107" t="s">
        <v>45</v>
      </c>
      <c r="R107" t="s">
        <v>31</v>
      </c>
      <c r="S107" t="s">
        <v>47</v>
      </c>
      <c r="T107" t="s">
        <v>47</v>
      </c>
      <c r="U107" t="s">
        <v>47</v>
      </c>
      <c r="V107" s="4">
        <v>45598</v>
      </c>
      <c r="W107" t="s">
        <v>1648</v>
      </c>
      <c r="X107" t="s">
        <v>1650</v>
      </c>
      <c r="Y107" t="s">
        <v>35</v>
      </c>
      <c r="Z107" t="s">
        <v>49</v>
      </c>
      <c r="AA107" t="s">
        <v>50</v>
      </c>
      <c r="AB107" s="4">
        <v>45614</v>
      </c>
      <c r="AC107" t="s">
        <v>1652</v>
      </c>
      <c r="AD107" t="s">
        <v>1653</v>
      </c>
      <c r="AE107" t="s">
        <v>52</v>
      </c>
    </row>
    <row r="108" spans="1:31" x14ac:dyDescent="0.3">
      <c r="A108" t="s">
        <v>599</v>
      </c>
      <c r="B108" s="4">
        <v>45593</v>
      </c>
      <c r="C108" t="s">
        <v>1646</v>
      </c>
      <c r="D108" t="s">
        <v>600</v>
      </c>
      <c r="E108" t="s">
        <v>26</v>
      </c>
      <c r="F108" t="s">
        <v>601</v>
      </c>
      <c r="G108" t="s">
        <v>67</v>
      </c>
      <c r="H108" t="s">
        <v>602</v>
      </c>
      <c r="I108">
        <v>5999</v>
      </c>
      <c r="J108">
        <v>1</v>
      </c>
      <c r="K108" t="s">
        <v>1647</v>
      </c>
      <c r="L108">
        <v>5999</v>
      </c>
      <c r="M108">
        <v>3599.4</v>
      </c>
      <c r="N108" t="s">
        <v>598</v>
      </c>
      <c r="O108">
        <v>40</v>
      </c>
      <c r="P108">
        <v>2399.6</v>
      </c>
      <c r="Q108" t="s">
        <v>60</v>
      </c>
      <c r="R108" t="s">
        <v>46</v>
      </c>
      <c r="S108" t="s">
        <v>32</v>
      </c>
      <c r="T108" t="s">
        <v>33</v>
      </c>
      <c r="U108" t="s">
        <v>32</v>
      </c>
      <c r="V108" s="4">
        <v>45599</v>
      </c>
      <c r="W108" t="s">
        <v>1648</v>
      </c>
      <c r="X108" t="s">
        <v>1650</v>
      </c>
      <c r="Y108" t="s">
        <v>35</v>
      </c>
      <c r="Z108" t="s">
        <v>49</v>
      </c>
      <c r="AA108" t="s">
        <v>119</v>
      </c>
      <c r="AB108" s="4">
        <v>45616</v>
      </c>
      <c r="AC108" t="s">
        <v>1652</v>
      </c>
      <c r="AD108" t="s">
        <v>1653</v>
      </c>
      <c r="AE108" t="s">
        <v>52</v>
      </c>
    </row>
    <row r="109" spans="1:31" x14ac:dyDescent="0.3">
      <c r="A109" t="s">
        <v>603</v>
      </c>
      <c r="B109" s="4">
        <v>45593</v>
      </c>
      <c r="C109" t="s">
        <v>1646</v>
      </c>
      <c r="D109" t="s">
        <v>604</v>
      </c>
      <c r="E109" t="s">
        <v>26</v>
      </c>
      <c r="F109" t="s">
        <v>605</v>
      </c>
      <c r="G109" t="s">
        <v>28</v>
      </c>
      <c r="H109" t="s">
        <v>606</v>
      </c>
      <c r="I109">
        <v>2299</v>
      </c>
      <c r="J109">
        <v>2</v>
      </c>
      <c r="K109" t="s">
        <v>1647</v>
      </c>
      <c r="L109">
        <v>4598</v>
      </c>
      <c r="M109">
        <v>2758.8</v>
      </c>
      <c r="N109" t="s">
        <v>598</v>
      </c>
      <c r="O109">
        <v>40</v>
      </c>
      <c r="P109">
        <v>1839.2</v>
      </c>
      <c r="Q109" t="s">
        <v>30</v>
      </c>
      <c r="R109" t="s">
        <v>71</v>
      </c>
      <c r="S109" t="s">
        <v>116</v>
      </c>
      <c r="T109" t="s">
        <v>117</v>
      </c>
      <c r="U109" t="s">
        <v>47</v>
      </c>
      <c r="V109" s="4">
        <v>45600</v>
      </c>
      <c r="W109" t="s">
        <v>1648</v>
      </c>
      <c r="X109" t="s">
        <v>1650</v>
      </c>
      <c r="Y109" t="s">
        <v>35</v>
      </c>
      <c r="Z109" t="s">
        <v>49</v>
      </c>
      <c r="AA109" t="s">
        <v>50</v>
      </c>
      <c r="AB109" s="4">
        <v>45618</v>
      </c>
      <c r="AC109" t="s">
        <v>1652</v>
      </c>
      <c r="AD109" t="s">
        <v>1653</v>
      </c>
      <c r="AE109" t="s">
        <v>52</v>
      </c>
    </row>
    <row r="110" spans="1:31" x14ac:dyDescent="0.3">
      <c r="A110" t="s">
        <v>607</v>
      </c>
      <c r="B110" s="4">
        <v>45593</v>
      </c>
      <c r="C110" t="s">
        <v>1646</v>
      </c>
      <c r="D110" t="s">
        <v>608</v>
      </c>
      <c r="E110" t="s">
        <v>40</v>
      </c>
      <c r="F110" t="s">
        <v>412</v>
      </c>
      <c r="G110" t="s">
        <v>79</v>
      </c>
      <c r="H110" t="s">
        <v>609</v>
      </c>
      <c r="I110">
        <v>1599</v>
      </c>
      <c r="J110">
        <v>1</v>
      </c>
      <c r="K110" t="s">
        <v>1647</v>
      </c>
      <c r="L110">
        <v>1599</v>
      </c>
      <c r="M110">
        <v>959.4</v>
      </c>
      <c r="N110" t="s">
        <v>598</v>
      </c>
      <c r="O110">
        <v>40</v>
      </c>
      <c r="P110">
        <v>639.6</v>
      </c>
      <c r="Q110" t="s">
        <v>45</v>
      </c>
      <c r="R110" t="s">
        <v>31</v>
      </c>
      <c r="S110" t="s">
        <v>129</v>
      </c>
      <c r="T110" t="s">
        <v>130</v>
      </c>
      <c r="U110" t="s">
        <v>47</v>
      </c>
      <c r="V110" s="4">
        <v>45599</v>
      </c>
      <c r="W110" t="s">
        <v>1648</v>
      </c>
      <c r="X110" t="s">
        <v>1650</v>
      </c>
      <c r="Y110" t="s">
        <v>35</v>
      </c>
      <c r="Z110" t="s">
        <v>36</v>
      </c>
      <c r="AB110" s="4"/>
      <c r="AC110" t="s">
        <v>1649</v>
      </c>
      <c r="AD110" t="s">
        <v>1651</v>
      </c>
      <c r="AE110" t="s">
        <v>37</v>
      </c>
    </row>
    <row r="111" spans="1:31" x14ac:dyDescent="0.3">
      <c r="A111" t="s">
        <v>610</v>
      </c>
      <c r="B111" s="4">
        <v>45593</v>
      </c>
      <c r="C111" t="s">
        <v>1646</v>
      </c>
      <c r="D111" t="s">
        <v>611</v>
      </c>
      <c r="E111" t="s">
        <v>26</v>
      </c>
      <c r="F111" t="s">
        <v>612</v>
      </c>
      <c r="G111" t="s">
        <v>58</v>
      </c>
      <c r="H111" t="s">
        <v>286</v>
      </c>
      <c r="I111">
        <v>1899</v>
      </c>
      <c r="J111">
        <v>1</v>
      </c>
      <c r="K111" t="s">
        <v>1647</v>
      </c>
      <c r="L111">
        <v>1899</v>
      </c>
      <c r="M111">
        <v>1139.4000000000001</v>
      </c>
      <c r="N111" t="s">
        <v>598</v>
      </c>
      <c r="O111">
        <v>40</v>
      </c>
      <c r="P111">
        <v>759.6</v>
      </c>
      <c r="Q111" t="s">
        <v>60</v>
      </c>
      <c r="R111" t="s">
        <v>46</v>
      </c>
      <c r="S111" t="s">
        <v>72</v>
      </c>
      <c r="T111" t="s">
        <v>73</v>
      </c>
      <c r="U111" t="s">
        <v>61</v>
      </c>
      <c r="V111" s="4"/>
      <c r="W111" t="s">
        <v>1656</v>
      </c>
      <c r="X111" t="s">
        <v>1657</v>
      </c>
      <c r="Y111" t="s">
        <v>137</v>
      </c>
      <c r="Z111" t="s">
        <v>36</v>
      </c>
      <c r="AB111" s="4"/>
      <c r="AC111" t="s">
        <v>1656</v>
      </c>
      <c r="AD111" t="s">
        <v>1651</v>
      </c>
      <c r="AE111" t="s">
        <v>37</v>
      </c>
    </row>
    <row r="112" spans="1:31" x14ac:dyDescent="0.3">
      <c r="A112" t="s">
        <v>613</v>
      </c>
      <c r="B112" s="4">
        <v>45594</v>
      </c>
      <c r="C112" t="s">
        <v>1646</v>
      </c>
      <c r="D112" t="s">
        <v>614</v>
      </c>
      <c r="E112" t="s">
        <v>26</v>
      </c>
      <c r="F112" t="s">
        <v>615</v>
      </c>
      <c r="G112" t="s">
        <v>42</v>
      </c>
      <c r="H112" t="s">
        <v>616</v>
      </c>
      <c r="I112">
        <v>4299</v>
      </c>
      <c r="J112">
        <v>1</v>
      </c>
      <c r="K112" t="s">
        <v>1647</v>
      </c>
      <c r="L112">
        <v>4299</v>
      </c>
      <c r="M112">
        <v>2579.4</v>
      </c>
      <c r="N112" t="s">
        <v>598</v>
      </c>
      <c r="O112">
        <v>40</v>
      </c>
      <c r="P112">
        <v>1719.6</v>
      </c>
      <c r="Q112" t="s">
        <v>70</v>
      </c>
      <c r="R112" t="s">
        <v>31</v>
      </c>
      <c r="S112" t="s">
        <v>86</v>
      </c>
      <c r="T112" t="s">
        <v>87</v>
      </c>
      <c r="U112" t="s">
        <v>61</v>
      </c>
      <c r="V112" s="4">
        <v>45601</v>
      </c>
      <c r="W112" t="s">
        <v>1648</v>
      </c>
      <c r="X112" t="s">
        <v>1650</v>
      </c>
      <c r="Y112" t="s">
        <v>35</v>
      </c>
      <c r="Z112" t="s">
        <v>49</v>
      </c>
      <c r="AA112" t="s">
        <v>75</v>
      </c>
      <c r="AB112" s="4">
        <v>45621</v>
      </c>
      <c r="AC112" t="s">
        <v>1652</v>
      </c>
      <c r="AD112" t="s">
        <v>1653</v>
      </c>
      <c r="AE112" t="s">
        <v>52</v>
      </c>
    </row>
    <row r="113" spans="1:31" x14ac:dyDescent="0.3">
      <c r="A113" t="s">
        <v>617</v>
      </c>
      <c r="B113" s="4">
        <v>45594</v>
      </c>
      <c r="C113" t="s">
        <v>1646</v>
      </c>
      <c r="D113" t="s">
        <v>618</v>
      </c>
      <c r="E113" t="s">
        <v>26</v>
      </c>
      <c r="F113" t="s">
        <v>619</v>
      </c>
      <c r="G113" t="s">
        <v>28</v>
      </c>
      <c r="H113" t="s">
        <v>620</v>
      </c>
      <c r="I113">
        <v>2599</v>
      </c>
      <c r="J113">
        <v>1</v>
      </c>
      <c r="K113" t="s">
        <v>1647</v>
      </c>
      <c r="L113">
        <v>2599</v>
      </c>
      <c r="M113">
        <v>1559.4</v>
      </c>
      <c r="N113" t="s">
        <v>598</v>
      </c>
      <c r="O113">
        <v>40</v>
      </c>
      <c r="P113">
        <v>1039.5999999999999</v>
      </c>
      <c r="Q113" t="s">
        <v>30</v>
      </c>
      <c r="R113" t="s">
        <v>71</v>
      </c>
      <c r="S113" t="s">
        <v>95</v>
      </c>
      <c r="T113" t="s">
        <v>33</v>
      </c>
      <c r="U113" t="s">
        <v>32</v>
      </c>
      <c r="V113" s="4">
        <v>45602</v>
      </c>
      <c r="W113" t="s">
        <v>1648</v>
      </c>
      <c r="X113" t="s">
        <v>1650</v>
      </c>
      <c r="Y113" t="s">
        <v>35</v>
      </c>
      <c r="Z113" t="s">
        <v>49</v>
      </c>
      <c r="AA113" t="s">
        <v>89</v>
      </c>
      <c r="AB113" s="4">
        <v>45624</v>
      </c>
      <c r="AC113" t="s">
        <v>1652</v>
      </c>
      <c r="AD113" t="s">
        <v>1653</v>
      </c>
      <c r="AE113" t="s">
        <v>121</v>
      </c>
    </row>
    <row r="114" spans="1:31" x14ac:dyDescent="0.3">
      <c r="A114" t="s">
        <v>621</v>
      </c>
      <c r="B114" s="4">
        <v>45594</v>
      </c>
      <c r="C114" t="s">
        <v>1646</v>
      </c>
      <c r="D114" t="s">
        <v>622</v>
      </c>
      <c r="E114" t="s">
        <v>26</v>
      </c>
      <c r="F114" t="s">
        <v>540</v>
      </c>
      <c r="G114" t="s">
        <v>67</v>
      </c>
      <c r="H114" t="s">
        <v>623</v>
      </c>
      <c r="I114">
        <v>3999</v>
      </c>
      <c r="J114">
        <v>1</v>
      </c>
      <c r="K114" t="s">
        <v>1647</v>
      </c>
      <c r="L114">
        <v>3999</v>
      </c>
      <c r="M114">
        <v>2399.4</v>
      </c>
      <c r="N114" t="s">
        <v>598</v>
      </c>
      <c r="O114">
        <v>40</v>
      </c>
      <c r="P114">
        <v>1599.6</v>
      </c>
      <c r="Q114" t="s">
        <v>45</v>
      </c>
      <c r="R114" t="s">
        <v>46</v>
      </c>
      <c r="S114" t="s">
        <v>624</v>
      </c>
      <c r="T114" t="s">
        <v>136</v>
      </c>
      <c r="U114" t="s">
        <v>47</v>
      </c>
      <c r="V114" s="4">
        <v>45603</v>
      </c>
      <c r="W114" t="s">
        <v>1648</v>
      </c>
      <c r="X114" t="s">
        <v>1650</v>
      </c>
      <c r="Y114" t="s">
        <v>35</v>
      </c>
      <c r="Z114" t="s">
        <v>49</v>
      </c>
      <c r="AA114" t="s">
        <v>50</v>
      </c>
      <c r="AB114" s="4">
        <v>45627</v>
      </c>
      <c r="AC114" t="s">
        <v>1652</v>
      </c>
      <c r="AD114" t="s">
        <v>1653</v>
      </c>
      <c r="AE114" t="s">
        <v>52</v>
      </c>
    </row>
    <row r="115" spans="1:31" x14ac:dyDescent="0.3">
      <c r="A115" t="s">
        <v>625</v>
      </c>
      <c r="B115" s="4">
        <v>45594</v>
      </c>
      <c r="C115" t="s">
        <v>1646</v>
      </c>
      <c r="D115" t="s">
        <v>626</v>
      </c>
      <c r="E115" t="s">
        <v>40</v>
      </c>
      <c r="F115" t="s">
        <v>627</v>
      </c>
      <c r="G115" t="s">
        <v>42</v>
      </c>
      <c r="H115" t="s">
        <v>628</v>
      </c>
      <c r="I115">
        <v>8999</v>
      </c>
      <c r="J115">
        <v>1</v>
      </c>
      <c r="K115" t="s">
        <v>1647</v>
      </c>
      <c r="L115">
        <v>8999</v>
      </c>
      <c r="M115">
        <v>5399.4</v>
      </c>
      <c r="N115" t="s">
        <v>598</v>
      </c>
      <c r="O115">
        <v>40</v>
      </c>
      <c r="P115">
        <v>3599.6</v>
      </c>
      <c r="Q115" t="s">
        <v>45</v>
      </c>
      <c r="R115" t="s">
        <v>31</v>
      </c>
      <c r="S115" t="s">
        <v>108</v>
      </c>
      <c r="T115" t="s">
        <v>109</v>
      </c>
      <c r="U115" t="s">
        <v>32</v>
      </c>
      <c r="V115" s="4">
        <v>45602</v>
      </c>
      <c r="W115" t="s">
        <v>1648</v>
      </c>
      <c r="X115" t="s">
        <v>1650</v>
      </c>
      <c r="Y115" t="s">
        <v>35</v>
      </c>
      <c r="Z115" t="s">
        <v>49</v>
      </c>
      <c r="AA115" t="s">
        <v>50</v>
      </c>
      <c r="AB115" s="4">
        <v>45628</v>
      </c>
      <c r="AC115" t="s">
        <v>1652</v>
      </c>
      <c r="AD115" t="s">
        <v>1653</v>
      </c>
      <c r="AE115" t="s">
        <v>52</v>
      </c>
    </row>
    <row r="116" spans="1:31" x14ac:dyDescent="0.3">
      <c r="A116" t="s">
        <v>629</v>
      </c>
      <c r="B116" s="4">
        <v>45594</v>
      </c>
      <c r="C116" t="s">
        <v>1646</v>
      </c>
      <c r="D116" t="s">
        <v>630</v>
      </c>
      <c r="E116" t="s">
        <v>26</v>
      </c>
      <c r="F116" t="s">
        <v>631</v>
      </c>
      <c r="G116" t="s">
        <v>79</v>
      </c>
      <c r="H116" t="s">
        <v>632</v>
      </c>
      <c r="I116">
        <v>1299</v>
      </c>
      <c r="J116">
        <v>2</v>
      </c>
      <c r="K116" t="s">
        <v>1647</v>
      </c>
      <c r="L116">
        <v>2598</v>
      </c>
      <c r="M116">
        <v>1558.8</v>
      </c>
      <c r="N116" t="s">
        <v>598</v>
      </c>
      <c r="O116">
        <v>40</v>
      </c>
      <c r="P116">
        <v>1039.2</v>
      </c>
      <c r="Q116" t="s">
        <v>60</v>
      </c>
      <c r="R116" t="s">
        <v>71</v>
      </c>
      <c r="S116" t="s">
        <v>101</v>
      </c>
      <c r="T116" t="s">
        <v>102</v>
      </c>
      <c r="U116" t="s">
        <v>47</v>
      </c>
      <c r="V116" s="4">
        <v>45604</v>
      </c>
      <c r="W116" t="s">
        <v>1648</v>
      </c>
      <c r="X116" t="s">
        <v>1650</v>
      </c>
      <c r="Y116" t="s">
        <v>35</v>
      </c>
      <c r="Z116" t="s">
        <v>49</v>
      </c>
      <c r="AA116" t="s">
        <v>158</v>
      </c>
      <c r="AB116" s="4">
        <v>45626</v>
      </c>
      <c r="AC116" t="s">
        <v>1652</v>
      </c>
      <c r="AD116" t="s">
        <v>1653</v>
      </c>
      <c r="AE116" t="s">
        <v>52</v>
      </c>
    </row>
    <row r="117" spans="1:31" x14ac:dyDescent="0.3">
      <c r="A117" t="s">
        <v>633</v>
      </c>
      <c r="B117" s="4">
        <v>45594</v>
      </c>
      <c r="C117" t="s">
        <v>1646</v>
      </c>
      <c r="D117" t="s">
        <v>634</v>
      </c>
      <c r="E117" t="s">
        <v>26</v>
      </c>
      <c r="F117" t="s">
        <v>635</v>
      </c>
      <c r="G117" t="s">
        <v>28</v>
      </c>
      <c r="H117" t="s">
        <v>636</v>
      </c>
      <c r="I117">
        <v>1999</v>
      </c>
      <c r="J117">
        <v>1</v>
      </c>
      <c r="K117" t="s">
        <v>1647</v>
      </c>
      <c r="L117">
        <v>1999</v>
      </c>
      <c r="M117">
        <v>1199.4000000000001</v>
      </c>
      <c r="N117" t="s">
        <v>598</v>
      </c>
      <c r="O117">
        <v>40</v>
      </c>
      <c r="P117">
        <v>799.6</v>
      </c>
      <c r="Q117" t="s">
        <v>30</v>
      </c>
      <c r="R117" t="s">
        <v>46</v>
      </c>
      <c r="S117" t="s">
        <v>61</v>
      </c>
      <c r="T117" t="s">
        <v>62</v>
      </c>
      <c r="U117" t="s">
        <v>61</v>
      </c>
      <c r="V117" s="4">
        <v>45603</v>
      </c>
      <c r="W117" t="s">
        <v>1648</v>
      </c>
      <c r="X117" t="s">
        <v>1650</v>
      </c>
      <c r="Y117" t="s">
        <v>35</v>
      </c>
      <c r="Z117" t="s">
        <v>49</v>
      </c>
      <c r="AA117" t="s">
        <v>75</v>
      </c>
      <c r="AB117" s="4">
        <v>45629</v>
      </c>
      <c r="AC117" t="s">
        <v>1652</v>
      </c>
      <c r="AD117" t="s">
        <v>1653</v>
      </c>
      <c r="AE117" t="s">
        <v>52</v>
      </c>
    </row>
    <row r="118" spans="1:31" x14ac:dyDescent="0.3">
      <c r="A118" t="s">
        <v>637</v>
      </c>
      <c r="B118" s="4">
        <v>45595</v>
      </c>
      <c r="C118" t="s">
        <v>1646</v>
      </c>
      <c r="D118" t="s">
        <v>638</v>
      </c>
      <c r="E118" t="s">
        <v>26</v>
      </c>
      <c r="F118" t="s">
        <v>639</v>
      </c>
      <c r="G118" t="s">
        <v>58</v>
      </c>
      <c r="H118" t="s">
        <v>640</v>
      </c>
      <c r="I118">
        <v>5499</v>
      </c>
      <c r="J118">
        <v>1</v>
      </c>
      <c r="K118" t="s">
        <v>1647</v>
      </c>
      <c r="L118">
        <v>5499</v>
      </c>
      <c r="M118">
        <v>3299.4</v>
      </c>
      <c r="N118" t="s">
        <v>598</v>
      </c>
      <c r="O118">
        <v>40</v>
      </c>
      <c r="P118">
        <v>2199.6</v>
      </c>
      <c r="Q118" t="s">
        <v>128</v>
      </c>
      <c r="R118" t="s">
        <v>31</v>
      </c>
      <c r="S118" t="s">
        <v>177</v>
      </c>
      <c r="T118" t="s">
        <v>109</v>
      </c>
      <c r="U118" t="s">
        <v>32</v>
      </c>
      <c r="V118" s="4">
        <v>45604</v>
      </c>
      <c r="W118" t="s">
        <v>1648</v>
      </c>
      <c r="X118" t="s">
        <v>1650</v>
      </c>
      <c r="Y118" t="s">
        <v>35</v>
      </c>
      <c r="Z118" t="s">
        <v>49</v>
      </c>
      <c r="AA118" t="s">
        <v>50</v>
      </c>
      <c r="AB118" s="4">
        <v>45627</v>
      </c>
      <c r="AC118" t="s">
        <v>1652</v>
      </c>
      <c r="AD118" t="s">
        <v>1653</v>
      </c>
      <c r="AE118" t="s">
        <v>52</v>
      </c>
    </row>
    <row r="119" spans="1:31" x14ac:dyDescent="0.3">
      <c r="A119" t="s">
        <v>641</v>
      </c>
      <c r="B119" s="4">
        <v>45595</v>
      </c>
      <c r="C119" t="s">
        <v>1646</v>
      </c>
      <c r="D119" t="s">
        <v>642</v>
      </c>
      <c r="E119" t="s">
        <v>26</v>
      </c>
      <c r="F119" t="s">
        <v>643</v>
      </c>
      <c r="G119" t="s">
        <v>42</v>
      </c>
      <c r="H119" t="s">
        <v>644</v>
      </c>
      <c r="I119">
        <v>6999</v>
      </c>
      <c r="J119">
        <v>1</v>
      </c>
      <c r="K119" t="s">
        <v>1647</v>
      </c>
      <c r="L119">
        <v>6999</v>
      </c>
      <c r="M119">
        <v>4199.3999999999996</v>
      </c>
      <c r="N119" t="s">
        <v>598</v>
      </c>
      <c r="O119">
        <v>40</v>
      </c>
      <c r="P119">
        <v>2799.6</v>
      </c>
      <c r="Q119" t="s">
        <v>45</v>
      </c>
      <c r="R119" t="s">
        <v>71</v>
      </c>
      <c r="S119" t="s">
        <v>32</v>
      </c>
      <c r="T119" t="s">
        <v>33</v>
      </c>
      <c r="U119" t="s">
        <v>32</v>
      </c>
      <c r="V119" s="4">
        <v>45605</v>
      </c>
      <c r="W119" t="s">
        <v>1648</v>
      </c>
      <c r="X119" t="s">
        <v>1650</v>
      </c>
      <c r="Y119" t="s">
        <v>35</v>
      </c>
      <c r="Z119" t="s">
        <v>49</v>
      </c>
      <c r="AA119" t="s">
        <v>50</v>
      </c>
      <c r="AB119" s="4">
        <v>45629</v>
      </c>
      <c r="AC119" t="s">
        <v>1652</v>
      </c>
      <c r="AD119" t="s">
        <v>1653</v>
      </c>
      <c r="AE119" t="s">
        <v>52</v>
      </c>
    </row>
    <row r="120" spans="1:31" x14ac:dyDescent="0.3">
      <c r="A120" t="s">
        <v>645</v>
      </c>
      <c r="B120" s="4">
        <v>45595</v>
      </c>
      <c r="C120" t="s">
        <v>1646</v>
      </c>
      <c r="D120" t="s">
        <v>646</v>
      </c>
      <c r="E120" t="s">
        <v>40</v>
      </c>
      <c r="F120" t="s">
        <v>647</v>
      </c>
      <c r="G120" t="s">
        <v>67</v>
      </c>
      <c r="H120" t="s">
        <v>648</v>
      </c>
      <c r="I120">
        <v>4999</v>
      </c>
      <c r="J120">
        <v>1</v>
      </c>
      <c r="K120" t="s">
        <v>1647</v>
      </c>
      <c r="L120">
        <v>4999</v>
      </c>
      <c r="M120">
        <v>2999.4</v>
      </c>
      <c r="N120" t="s">
        <v>598</v>
      </c>
      <c r="O120">
        <v>40</v>
      </c>
      <c r="P120">
        <v>1999.6</v>
      </c>
      <c r="Q120" t="s">
        <v>70</v>
      </c>
      <c r="R120" t="s">
        <v>46</v>
      </c>
      <c r="S120" t="s">
        <v>47</v>
      </c>
      <c r="T120" t="s">
        <v>47</v>
      </c>
      <c r="U120" t="s">
        <v>47</v>
      </c>
      <c r="V120" s="4">
        <v>45606</v>
      </c>
      <c r="W120" t="s">
        <v>1648</v>
      </c>
      <c r="X120" t="s">
        <v>1650</v>
      </c>
      <c r="Y120" t="s">
        <v>35</v>
      </c>
      <c r="Z120" t="s">
        <v>36</v>
      </c>
      <c r="AB120" s="4"/>
      <c r="AC120" t="s">
        <v>1649</v>
      </c>
      <c r="AD120" t="s">
        <v>1651</v>
      </c>
      <c r="AE120" t="s">
        <v>37</v>
      </c>
    </row>
    <row r="121" spans="1:31" x14ac:dyDescent="0.3">
      <c r="A121" t="s">
        <v>649</v>
      </c>
      <c r="B121" s="4">
        <v>45595</v>
      </c>
      <c r="C121" t="s">
        <v>1646</v>
      </c>
      <c r="D121" t="s">
        <v>650</v>
      </c>
      <c r="E121" t="s">
        <v>26</v>
      </c>
      <c r="F121" t="s">
        <v>651</v>
      </c>
      <c r="G121" t="s">
        <v>79</v>
      </c>
      <c r="H121" t="s">
        <v>652</v>
      </c>
      <c r="I121">
        <v>899</v>
      </c>
      <c r="J121">
        <v>1</v>
      </c>
      <c r="K121" t="s">
        <v>1647</v>
      </c>
      <c r="L121">
        <v>899</v>
      </c>
      <c r="M121">
        <v>539.4</v>
      </c>
      <c r="N121" t="s">
        <v>598</v>
      </c>
      <c r="O121">
        <v>40</v>
      </c>
      <c r="P121">
        <v>359.6</v>
      </c>
      <c r="Q121" t="s">
        <v>30</v>
      </c>
      <c r="R121" t="s">
        <v>31</v>
      </c>
      <c r="S121" t="s">
        <v>653</v>
      </c>
      <c r="T121" t="s">
        <v>130</v>
      </c>
      <c r="U121" t="s">
        <v>47</v>
      </c>
      <c r="V121" s="4">
        <v>45606</v>
      </c>
      <c r="W121" t="s">
        <v>1648</v>
      </c>
      <c r="X121" t="s">
        <v>1650</v>
      </c>
      <c r="Y121" t="s">
        <v>35</v>
      </c>
      <c r="Z121" t="s">
        <v>36</v>
      </c>
      <c r="AB121" s="4"/>
      <c r="AC121" t="s">
        <v>1649</v>
      </c>
      <c r="AD121" t="s">
        <v>1651</v>
      </c>
      <c r="AE121" t="s">
        <v>37</v>
      </c>
    </row>
    <row r="122" spans="1:31" x14ac:dyDescent="0.3">
      <c r="A122" t="s">
        <v>654</v>
      </c>
      <c r="B122" s="4">
        <v>45595</v>
      </c>
      <c r="C122" t="s">
        <v>1646</v>
      </c>
      <c r="D122" t="s">
        <v>655</v>
      </c>
      <c r="E122" t="s">
        <v>26</v>
      </c>
      <c r="F122" t="s">
        <v>656</v>
      </c>
      <c r="G122" t="s">
        <v>28</v>
      </c>
      <c r="H122" t="s">
        <v>657</v>
      </c>
      <c r="I122">
        <v>3299</v>
      </c>
      <c r="J122">
        <v>1</v>
      </c>
      <c r="K122" t="s">
        <v>1647</v>
      </c>
      <c r="L122">
        <v>3299</v>
      </c>
      <c r="M122">
        <v>1979.4</v>
      </c>
      <c r="N122" t="s">
        <v>598</v>
      </c>
      <c r="O122">
        <v>40</v>
      </c>
      <c r="P122">
        <v>1319.6</v>
      </c>
      <c r="Q122" t="s">
        <v>60</v>
      </c>
      <c r="R122" t="s">
        <v>71</v>
      </c>
      <c r="S122" t="s">
        <v>116</v>
      </c>
      <c r="T122" t="s">
        <v>117</v>
      </c>
      <c r="U122" t="s">
        <v>47</v>
      </c>
      <c r="V122" s="4">
        <v>45608</v>
      </c>
      <c r="W122" t="s">
        <v>1648</v>
      </c>
      <c r="X122" t="s">
        <v>1650</v>
      </c>
      <c r="Y122" t="s">
        <v>35</v>
      </c>
      <c r="Z122" t="s">
        <v>49</v>
      </c>
      <c r="AA122" t="s">
        <v>119</v>
      </c>
      <c r="AB122" s="4">
        <v>45631</v>
      </c>
      <c r="AC122" t="s">
        <v>1652</v>
      </c>
      <c r="AD122" t="s">
        <v>1653</v>
      </c>
      <c r="AE122" t="s">
        <v>121</v>
      </c>
    </row>
    <row r="123" spans="1:31" x14ac:dyDescent="0.3">
      <c r="A123" t="s">
        <v>658</v>
      </c>
      <c r="B123" s="4">
        <v>45596</v>
      </c>
      <c r="C123" t="s">
        <v>1646</v>
      </c>
      <c r="D123" t="s">
        <v>659</v>
      </c>
      <c r="E123" t="s">
        <v>26</v>
      </c>
      <c r="F123" t="s">
        <v>660</v>
      </c>
      <c r="G123" t="s">
        <v>42</v>
      </c>
      <c r="H123" t="s">
        <v>661</v>
      </c>
      <c r="I123">
        <v>7499</v>
      </c>
      <c r="J123">
        <v>1</v>
      </c>
      <c r="K123" t="s">
        <v>1647</v>
      </c>
      <c r="L123">
        <v>7499</v>
      </c>
      <c r="M123">
        <v>4499.3999999999996</v>
      </c>
      <c r="N123" t="s">
        <v>598</v>
      </c>
      <c r="O123">
        <v>40</v>
      </c>
      <c r="P123">
        <v>2999.6</v>
      </c>
      <c r="Q123" t="s">
        <v>45</v>
      </c>
      <c r="R123" t="s">
        <v>31</v>
      </c>
      <c r="S123" t="s">
        <v>129</v>
      </c>
      <c r="T123" t="s">
        <v>130</v>
      </c>
      <c r="U123" t="s">
        <v>47</v>
      </c>
      <c r="V123" s="4">
        <v>45607</v>
      </c>
      <c r="W123" t="s">
        <v>1648</v>
      </c>
      <c r="X123" t="s">
        <v>1650</v>
      </c>
      <c r="Y123" t="s">
        <v>35</v>
      </c>
      <c r="Z123" t="s">
        <v>49</v>
      </c>
      <c r="AA123" t="s">
        <v>50</v>
      </c>
      <c r="AB123" s="4">
        <v>45630</v>
      </c>
      <c r="AC123" t="s">
        <v>1652</v>
      </c>
      <c r="AD123" t="s">
        <v>1653</v>
      </c>
      <c r="AE123" t="s">
        <v>52</v>
      </c>
    </row>
    <row r="124" spans="1:31" x14ac:dyDescent="0.3">
      <c r="A124" t="s">
        <v>663</v>
      </c>
      <c r="B124" s="4">
        <v>45596</v>
      </c>
      <c r="C124" t="s">
        <v>1646</v>
      </c>
      <c r="D124" t="s">
        <v>664</v>
      </c>
      <c r="E124" t="s">
        <v>26</v>
      </c>
      <c r="F124" t="s">
        <v>665</v>
      </c>
      <c r="G124" t="s">
        <v>58</v>
      </c>
      <c r="H124" t="s">
        <v>666</v>
      </c>
      <c r="I124">
        <v>3299</v>
      </c>
      <c r="J124">
        <v>1</v>
      </c>
      <c r="K124" t="s">
        <v>1647</v>
      </c>
      <c r="L124">
        <v>3299</v>
      </c>
      <c r="M124">
        <v>1979.4</v>
      </c>
      <c r="N124" t="s">
        <v>598</v>
      </c>
      <c r="O124">
        <v>40</v>
      </c>
      <c r="P124">
        <v>1319.6</v>
      </c>
      <c r="Q124" t="s">
        <v>30</v>
      </c>
      <c r="R124" t="s">
        <v>46</v>
      </c>
      <c r="S124" t="s">
        <v>135</v>
      </c>
      <c r="T124" t="s">
        <v>136</v>
      </c>
      <c r="U124" t="s">
        <v>47</v>
      </c>
      <c r="V124" s="4">
        <v>45608</v>
      </c>
      <c r="W124" t="s">
        <v>1648</v>
      </c>
      <c r="X124" t="s">
        <v>1650</v>
      </c>
      <c r="Y124" t="s">
        <v>35</v>
      </c>
      <c r="Z124" t="s">
        <v>49</v>
      </c>
      <c r="AA124" t="s">
        <v>89</v>
      </c>
      <c r="AB124" s="4">
        <v>45632</v>
      </c>
      <c r="AC124" t="s">
        <v>1652</v>
      </c>
      <c r="AD124" t="s">
        <v>1653</v>
      </c>
      <c r="AE124" t="s">
        <v>52</v>
      </c>
    </row>
    <row r="125" spans="1:31" x14ac:dyDescent="0.3">
      <c r="A125" t="s">
        <v>667</v>
      </c>
      <c r="B125" s="4">
        <v>45596</v>
      </c>
      <c r="C125" t="s">
        <v>1646</v>
      </c>
      <c r="D125" t="s">
        <v>668</v>
      </c>
      <c r="E125" t="s">
        <v>40</v>
      </c>
      <c r="F125" t="s">
        <v>452</v>
      </c>
      <c r="G125" t="s">
        <v>67</v>
      </c>
      <c r="H125" t="s">
        <v>669</v>
      </c>
      <c r="I125">
        <v>5499</v>
      </c>
      <c r="J125">
        <v>1</v>
      </c>
      <c r="K125" t="s">
        <v>1647</v>
      </c>
      <c r="L125">
        <v>5499</v>
      </c>
      <c r="M125">
        <v>3299.4</v>
      </c>
      <c r="N125" t="s">
        <v>598</v>
      </c>
      <c r="O125">
        <v>40</v>
      </c>
      <c r="P125">
        <v>2199.6</v>
      </c>
      <c r="Q125" t="s">
        <v>70</v>
      </c>
      <c r="R125" t="s">
        <v>71</v>
      </c>
      <c r="S125" t="s">
        <v>156</v>
      </c>
      <c r="T125" t="s">
        <v>130</v>
      </c>
      <c r="U125" t="s">
        <v>47</v>
      </c>
      <c r="V125" s="4">
        <v>45609</v>
      </c>
      <c r="W125" t="s">
        <v>1648</v>
      </c>
      <c r="X125" t="s">
        <v>1650</v>
      </c>
      <c r="Y125" t="s">
        <v>35</v>
      </c>
      <c r="Z125" t="s">
        <v>49</v>
      </c>
      <c r="AA125" t="s">
        <v>75</v>
      </c>
      <c r="AB125" s="4">
        <v>45634</v>
      </c>
      <c r="AC125" t="s">
        <v>1652</v>
      </c>
      <c r="AD125" t="s">
        <v>1653</v>
      </c>
      <c r="AE125" t="s">
        <v>52</v>
      </c>
    </row>
    <row r="126" spans="1:31" x14ac:dyDescent="0.3">
      <c r="A126" t="s">
        <v>672</v>
      </c>
      <c r="B126" s="4">
        <v>45596</v>
      </c>
      <c r="C126" t="s">
        <v>1646</v>
      </c>
      <c r="D126" t="s">
        <v>673</v>
      </c>
      <c r="E126" t="s">
        <v>26</v>
      </c>
      <c r="F126" t="s">
        <v>674</v>
      </c>
      <c r="G126" t="s">
        <v>79</v>
      </c>
      <c r="H126" t="s">
        <v>675</v>
      </c>
      <c r="I126">
        <v>1199</v>
      </c>
      <c r="J126">
        <v>1</v>
      </c>
      <c r="K126" t="s">
        <v>1647</v>
      </c>
      <c r="L126">
        <v>1199</v>
      </c>
      <c r="M126">
        <v>719.4</v>
      </c>
      <c r="N126" t="s">
        <v>598</v>
      </c>
      <c r="O126">
        <v>40</v>
      </c>
      <c r="P126">
        <v>479.6</v>
      </c>
      <c r="Q126" t="s">
        <v>60</v>
      </c>
      <c r="R126" t="s">
        <v>31</v>
      </c>
      <c r="S126" t="s">
        <v>164</v>
      </c>
      <c r="T126" t="s">
        <v>165</v>
      </c>
      <c r="U126" t="s">
        <v>47</v>
      </c>
      <c r="V126" s="4"/>
      <c r="W126" t="s">
        <v>1656</v>
      </c>
      <c r="X126" t="s">
        <v>1657</v>
      </c>
      <c r="Y126" t="s">
        <v>137</v>
      </c>
      <c r="Z126" t="s">
        <v>36</v>
      </c>
      <c r="AB126" s="4"/>
      <c r="AC126" t="s">
        <v>1656</v>
      </c>
      <c r="AD126" t="s">
        <v>1651</v>
      </c>
      <c r="AE126" t="s">
        <v>37</v>
      </c>
    </row>
    <row r="127" spans="1:31" x14ac:dyDescent="0.3">
      <c r="A127" t="s">
        <v>676</v>
      </c>
      <c r="B127" s="4">
        <v>45596</v>
      </c>
      <c r="C127" t="s">
        <v>1646</v>
      </c>
      <c r="D127" t="s">
        <v>677</v>
      </c>
      <c r="E127" t="s">
        <v>26</v>
      </c>
      <c r="F127" t="s">
        <v>678</v>
      </c>
      <c r="G127" t="s">
        <v>28</v>
      </c>
      <c r="H127" t="s">
        <v>679</v>
      </c>
      <c r="I127">
        <v>2799</v>
      </c>
      <c r="J127">
        <v>1</v>
      </c>
      <c r="K127" t="s">
        <v>1647</v>
      </c>
      <c r="L127">
        <v>2799</v>
      </c>
      <c r="M127">
        <v>1679.4</v>
      </c>
      <c r="N127" t="s">
        <v>598</v>
      </c>
      <c r="O127">
        <v>40</v>
      </c>
      <c r="P127">
        <v>1119.5999999999999</v>
      </c>
      <c r="Q127" t="s">
        <v>128</v>
      </c>
      <c r="R127" t="s">
        <v>46</v>
      </c>
      <c r="S127" t="s">
        <v>171</v>
      </c>
      <c r="T127" t="s">
        <v>172</v>
      </c>
      <c r="U127" t="s">
        <v>32</v>
      </c>
      <c r="V127" s="4">
        <v>45608</v>
      </c>
      <c r="W127" t="s">
        <v>1648</v>
      </c>
      <c r="X127" t="s">
        <v>1650</v>
      </c>
      <c r="Y127" t="s">
        <v>35</v>
      </c>
      <c r="Z127" t="s">
        <v>49</v>
      </c>
      <c r="AA127" t="s">
        <v>50</v>
      </c>
      <c r="AB127" s="4">
        <v>45633</v>
      </c>
      <c r="AC127" t="s">
        <v>1652</v>
      </c>
      <c r="AD127" t="s">
        <v>1653</v>
      </c>
      <c r="AE127" t="s">
        <v>52</v>
      </c>
    </row>
    <row r="128" spans="1:31" x14ac:dyDescent="0.3">
      <c r="A128" t="s">
        <v>680</v>
      </c>
      <c r="B128" s="4">
        <v>45597</v>
      </c>
      <c r="C128" t="s">
        <v>1646</v>
      </c>
      <c r="D128" t="s">
        <v>681</v>
      </c>
      <c r="E128" t="s">
        <v>26</v>
      </c>
      <c r="F128" t="s">
        <v>682</v>
      </c>
      <c r="G128" t="s">
        <v>42</v>
      </c>
      <c r="H128" t="s">
        <v>683</v>
      </c>
      <c r="I128">
        <v>3899</v>
      </c>
      <c r="J128">
        <v>1</v>
      </c>
      <c r="K128" t="s">
        <v>1647</v>
      </c>
      <c r="L128">
        <v>3899</v>
      </c>
      <c r="M128">
        <v>2339.4</v>
      </c>
      <c r="N128" t="s">
        <v>598</v>
      </c>
      <c r="O128">
        <v>40</v>
      </c>
      <c r="P128">
        <v>1559.6</v>
      </c>
      <c r="Q128" t="s">
        <v>45</v>
      </c>
      <c r="R128" t="s">
        <v>71</v>
      </c>
      <c r="S128" t="s">
        <v>177</v>
      </c>
      <c r="T128" t="s">
        <v>109</v>
      </c>
      <c r="U128" t="s">
        <v>32</v>
      </c>
      <c r="V128" s="4">
        <v>45606</v>
      </c>
      <c r="W128" t="s">
        <v>1648</v>
      </c>
      <c r="X128" t="s">
        <v>1650</v>
      </c>
      <c r="Y128" t="s">
        <v>35</v>
      </c>
      <c r="Z128" t="s">
        <v>49</v>
      </c>
      <c r="AA128" t="s">
        <v>119</v>
      </c>
      <c r="AB128" s="4">
        <v>45631</v>
      </c>
      <c r="AC128" t="s">
        <v>1652</v>
      </c>
      <c r="AD128" t="s">
        <v>1653</v>
      </c>
      <c r="AE128" t="s">
        <v>52</v>
      </c>
    </row>
    <row r="129" spans="1:31" x14ac:dyDescent="0.3">
      <c r="A129" t="s">
        <v>684</v>
      </c>
      <c r="B129" s="4">
        <v>45597</v>
      </c>
      <c r="C129" t="s">
        <v>1646</v>
      </c>
      <c r="D129" t="s">
        <v>685</v>
      </c>
      <c r="E129" t="s">
        <v>26</v>
      </c>
      <c r="F129" t="s">
        <v>686</v>
      </c>
      <c r="G129" t="s">
        <v>58</v>
      </c>
      <c r="H129" t="s">
        <v>687</v>
      </c>
      <c r="I129">
        <v>2999</v>
      </c>
      <c r="J129">
        <v>1</v>
      </c>
      <c r="K129" t="s">
        <v>1647</v>
      </c>
      <c r="L129">
        <v>2999</v>
      </c>
      <c r="M129">
        <v>1799.4</v>
      </c>
      <c r="N129" t="s">
        <v>598</v>
      </c>
      <c r="O129">
        <v>40</v>
      </c>
      <c r="P129">
        <v>1199.5999999999999</v>
      </c>
      <c r="Q129" t="s">
        <v>30</v>
      </c>
      <c r="R129" t="s">
        <v>31</v>
      </c>
      <c r="S129" t="s">
        <v>184</v>
      </c>
      <c r="T129" t="s">
        <v>185</v>
      </c>
      <c r="U129" t="s">
        <v>47</v>
      </c>
      <c r="V129" s="4">
        <v>45607</v>
      </c>
      <c r="W129" t="s">
        <v>1648</v>
      </c>
      <c r="X129" t="s">
        <v>1650</v>
      </c>
      <c r="Y129" t="s">
        <v>35</v>
      </c>
      <c r="Z129" t="s">
        <v>36</v>
      </c>
      <c r="AB129" s="4"/>
      <c r="AC129" t="s">
        <v>1649</v>
      </c>
      <c r="AD129" t="s">
        <v>1651</v>
      </c>
      <c r="AE129" t="s">
        <v>37</v>
      </c>
    </row>
    <row r="130" spans="1:31" x14ac:dyDescent="0.3">
      <c r="A130" t="s">
        <v>688</v>
      </c>
      <c r="B130" s="4">
        <v>45597</v>
      </c>
      <c r="C130" t="s">
        <v>1646</v>
      </c>
      <c r="D130" t="s">
        <v>689</v>
      </c>
      <c r="E130" t="s">
        <v>40</v>
      </c>
      <c r="F130" t="s">
        <v>690</v>
      </c>
      <c r="G130" t="s">
        <v>67</v>
      </c>
      <c r="H130" t="s">
        <v>691</v>
      </c>
      <c r="I130">
        <v>6499</v>
      </c>
      <c r="J130">
        <v>1</v>
      </c>
      <c r="K130" t="s">
        <v>1647</v>
      </c>
      <c r="L130">
        <v>6499</v>
      </c>
      <c r="M130">
        <v>3899.4</v>
      </c>
      <c r="N130" t="s">
        <v>598</v>
      </c>
      <c r="O130">
        <v>40</v>
      </c>
      <c r="P130">
        <v>2599.6</v>
      </c>
      <c r="Q130" t="s">
        <v>45</v>
      </c>
      <c r="R130" t="s">
        <v>46</v>
      </c>
      <c r="S130" t="s">
        <v>190</v>
      </c>
      <c r="T130" t="s">
        <v>172</v>
      </c>
      <c r="U130" t="s">
        <v>32</v>
      </c>
      <c r="V130" s="4">
        <v>45609</v>
      </c>
      <c r="W130" t="s">
        <v>1648</v>
      </c>
      <c r="X130" t="s">
        <v>1650</v>
      </c>
      <c r="Y130" t="s">
        <v>35</v>
      </c>
      <c r="Z130" t="s">
        <v>49</v>
      </c>
      <c r="AA130" t="s">
        <v>50</v>
      </c>
      <c r="AB130" s="4">
        <v>45636</v>
      </c>
      <c r="AC130" t="s">
        <v>1652</v>
      </c>
      <c r="AD130" t="s">
        <v>1653</v>
      </c>
      <c r="AE130" t="s">
        <v>52</v>
      </c>
    </row>
    <row r="131" spans="1:31" x14ac:dyDescent="0.3">
      <c r="A131" t="s">
        <v>693</v>
      </c>
      <c r="B131" s="4">
        <v>45597</v>
      </c>
      <c r="C131" t="s">
        <v>1646</v>
      </c>
      <c r="D131" t="s">
        <v>694</v>
      </c>
      <c r="E131" t="s">
        <v>26</v>
      </c>
      <c r="F131" t="s">
        <v>695</v>
      </c>
      <c r="G131" t="s">
        <v>79</v>
      </c>
      <c r="H131" t="s">
        <v>696</v>
      </c>
      <c r="I131">
        <v>999</v>
      </c>
      <c r="J131">
        <v>2</v>
      </c>
      <c r="K131" t="s">
        <v>1647</v>
      </c>
      <c r="L131">
        <v>1998</v>
      </c>
      <c r="M131">
        <v>1198.8</v>
      </c>
      <c r="N131" t="s">
        <v>598</v>
      </c>
      <c r="O131">
        <v>40</v>
      </c>
      <c r="P131">
        <v>799.2</v>
      </c>
      <c r="Q131" t="s">
        <v>70</v>
      </c>
      <c r="R131" t="s">
        <v>71</v>
      </c>
      <c r="S131" t="s">
        <v>195</v>
      </c>
      <c r="T131" t="s">
        <v>33</v>
      </c>
      <c r="U131" t="s">
        <v>32</v>
      </c>
      <c r="V131" s="4">
        <v>45607</v>
      </c>
      <c r="W131" t="s">
        <v>1648</v>
      </c>
      <c r="X131" t="s">
        <v>1650</v>
      </c>
      <c r="Y131" t="s">
        <v>35</v>
      </c>
      <c r="Z131" t="s">
        <v>36</v>
      </c>
      <c r="AB131" s="4"/>
      <c r="AC131" t="s">
        <v>1649</v>
      </c>
      <c r="AD131" t="s">
        <v>1651</v>
      </c>
      <c r="AE131" t="s">
        <v>37</v>
      </c>
    </row>
    <row r="132" spans="1:31" x14ac:dyDescent="0.3">
      <c r="A132" t="s">
        <v>697</v>
      </c>
      <c r="B132" s="4">
        <v>45598</v>
      </c>
      <c r="C132" t="s">
        <v>1646</v>
      </c>
      <c r="D132" t="s">
        <v>698</v>
      </c>
      <c r="E132" t="s">
        <v>26</v>
      </c>
      <c r="F132" t="s">
        <v>699</v>
      </c>
      <c r="G132" t="s">
        <v>28</v>
      </c>
      <c r="H132" t="s">
        <v>700</v>
      </c>
      <c r="I132">
        <v>2499</v>
      </c>
      <c r="J132">
        <v>1</v>
      </c>
      <c r="K132" t="s">
        <v>1647</v>
      </c>
      <c r="L132">
        <v>2499</v>
      </c>
      <c r="M132">
        <v>1499.4</v>
      </c>
      <c r="N132" t="s">
        <v>598</v>
      </c>
      <c r="O132">
        <v>40</v>
      </c>
      <c r="P132">
        <v>999.6</v>
      </c>
      <c r="Q132" t="s">
        <v>60</v>
      </c>
      <c r="R132" t="s">
        <v>31</v>
      </c>
      <c r="S132" t="s">
        <v>202</v>
      </c>
      <c r="T132" t="s">
        <v>73</v>
      </c>
      <c r="U132" t="s">
        <v>61</v>
      </c>
      <c r="V132" s="4">
        <v>45608</v>
      </c>
      <c r="W132" t="s">
        <v>1648</v>
      </c>
      <c r="X132" t="s">
        <v>1650</v>
      </c>
      <c r="Y132" t="s">
        <v>35</v>
      </c>
      <c r="Z132" t="s">
        <v>49</v>
      </c>
      <c r="AA132" t="s">
        <v>75</v>
      </c>
      <c r="AB132" s="4">
        <v>45634</v>
      </c>
      <c r="AC132" t="s">
        <v>1652</v>
      </c>
      <c r="AD132" t="s">
        <v>1653</v>
      </c>
      <c r="AE132" t="s">
        <v>52</v>
      </c>
    </row>
    <row r="133" spans="1:31" x14ac:dyDescent="0.3">
      <c r="A133" t="s">
        <v>701</v>
      </c>
      <c r="B133" s="4">
        <v>45598</v>
      </c>
      <c r="C133" t="s">
        <v>1646</v>
      </c>
      <c r="D133" t="s">
        <v>702</v>
      </c>
      <c r="E133" t="s">
        <v>26</v>
      </c>
      <c r="F133" t="s">
        <v>703</v>
      </c>
      <c r="G133" t="s">
        <v>42</v>
      </c>
      <c r="H133" t="s">
        <v>704</v>
      </c>
      <c r="I133">
        <v>4599</v>
      </c>
      <c r="J133">
        <v>1</v>
      </c>
      <c r="K133" t="s">
        <v>1647</v>
      </c>
      <c r="L133">
        <v>4599</v>
      </c>
      <c r="M133">
        <v>2759.4</v>
      </c>
      <c r="N133" t="s">
        <v>598</v>
      </c>
      <c r="O133">
        <v>40</v>
      </c>
      <c r="P133">
        <v>1839.6</v>
      </c>
      <c r="Q133" t="s">
        <v>30</v>
      </c>
      <c r="R133" t="s">
        <v>46</v>
      </c>
      <c r="S133" t="s">
        <v>208</v>
      </c>
      <c r="T133" t="s">
        <v>209</v>
      </c>
      <c r="U133" t="s">
        <v>61</v>
      </c>
      <c r="V133" s="4">
        <v>45610</v>
      </c>
      <c r="W133" t="s">
        <v>1648</v>
      </c>
      <c r="X133" t="s">
        <v>1650</v>
      </c>
      <c r="Y133" t="s">
        <v>35</v>
      </c>
      <c r="Z133" t="s">
        <v>49</v>
      </c>
      <c r="AA133" t="s">
        <v>50</v>
      </c>
      <c r="AB133" s="4">
        <v>45638</v>
      </c>
      <c r="AC133" t="s">
        <v>1652</v>
      </c>
      <c r="AD133" t="s">
        <v>1653</v>
      </c>
      <c r="AE133" t="s">
        <v>52</v>
      </c>
    </row>
    <row r="134" spans="1:31" x14ac:dyDescent="0.3">
      <c r="A134" t="s">
        <v>706</v>
      </c>
      <c r="B134" s="4">
        <v>45598</v>
      </c>
      <c r="C134" t="s">
        <v>1646</v>
      </c>
      <c r="D134" t="s">
        <v>707</v>
      </c>
      <c r="E134" t="s">
        <v>26</v>
      </c>
      <c r="F134" t="s">
        <v>708</v>
      </c>
      <c r="G134" t="s">
        <v>58</v>
      </c>
      <c r="H134" t="s">
        <v>709</v>
      </c>
      <c r="I134">
        <v>1799</v>
      </c>
      <c r="J134">
        <v>1</v>
      </c>
      <c r="K134" t="s">
        <v>1647</v>
      </c>
      <c r="L134">
        <v>1799</v>
      </c>
      <c r="M134">
        <v>1079.4000000000001</v>
      </c>
      <c r="N134" t="s">
        <v>598</v>
      </c>
      <c r="O134">
        <v>40</v>
      </c>
      <c r="P134">
        <v>719.6</v>
      </c>
      <c r="Q134" t="s">
        <v>45</v>
      </c>
      <c r="R134" t="s">
        <v>71</v>
      </c>
      <c r="S134" t="s">
        <v>215</v>
      </c>
      <c r="T134" t="s">
        <v>216</v>
      </c>
      <c r="U134" t="s">
        <v>61</v>
      </c>
      <c r="V134" s="4">
        <v>45609</v>
      </c>
      <c r="W134" t="s">
        <v>1648</v>
      </c>
      <c r="X134" t="s">
        <v>1650</v>
      </c>
      <c r="Y134" t="s">
        <v>35</v>
      </c>
      <c r="Z134" t="s">
        <v>36</v>
      </c>
      <c r="AB134" s="4"/>
      <c r="AC134" t="s">
        <v>1649</v>
      </c>
      <c r="AD134" t="s">
        <v>1651</v>
      </c>
      <c r="AE134" t="s">
        <v>37</v>
      </c>
    </row>
    <row r="135" spans="1:31" x14ac:dyDescent="0.3">
      <c r="A135" t="s">
        <v>710</v>
      </c>
      <c r="B135" s="4">
        <v>45598</v>
      </c>
      <c r="C135" t="s">
        <v>1646</v>
      </c>
      <c r="D135" t="s">
        <v>711</v>
      </c>
      <c r="E135" t="s">
        <v>40</v>
      </c>
      <c r="F135" t="s">
        <v>712</v>
      </c>
      <c r="G135" t="s">
        <v>67</v>
      </c>
      <c r="H135" t="s">
        <v>713</v>
      </c>
      <c r="I135">
        <v>7999</v>
      </c>
      <c r="J135">
        <v>1</v>
      </c>
      <c r="K135" t="s">
        <v>1647</v>
      </c>
      <c r="L135">
        <v>7999</v>
      </c>
      <c r="M135">
        <v>4799.3999999999996</v>
      </c>
      <c r="N135" t="s">
        <v>598</v>
      </c>
      <c r="O135">
        <v>40</v>
      </c>
      <c r="P135">
        <v>3199.6</v>
      </c>
      <c r="Q135" t="s">
        <v>128</v>
      </c>
      <c r="R135" t="s">
        <v>31</v>
      </c>
      <c r="S135" t="s">
        <v>221</v>
      </c>
      <c r="T135" t="s">
        <v>209</v>
      </c>
      <c r="U135" t="s">
        <v>61</v>
      </c>
      <c r="V135" s="4">
        <v>45611</v>
      </c>
      <c r="W135" t="s">
        <v>1648</v>
      </c>
      <c r="X135" t="s">
        <v>1650</v>
      </c>
      <c r="Y135" t="s">
        <v>35</v>
      </c>
      <c r="Z135" t="s">
        <v>49</v>
      </c>
      <c r="AA135" t="s">
        <v>89</v>
      </c>
      <c r="AB135" s="4">
        <v>45640</v>
      </c>
      <c r="AC135" t="s">
        <v>1652</v>
      </c>
      <c r="AD135" t="s">
        <v>1653</v>
      </c>
      <c r="AE135" t="s">
        <v>52</v>
      </c>
    </row>
    <row r="136" spans="1:31" x14ac:dyDescent="0.3">
      <c r="A136" t="s">
        <v>715</v>
      </c>
      <c r="B136" s="4">
        <v>45599</v>
      </c>
      <c r="C136" t="s">
        <v>1646</v>
      </c>
      <c r="D136" t="s">
        <v>716</v>
      </c>
      <c r="E136" t="s">
        <v>26</v>
      </c>
      <c r="F136" t="s">
        <v>717</v>
      </c>
      <c r="G136" t="s">
        <v>79</v>
      </c>
      <c r="H136" t="s">
        <v>718</v>
      </c>
      <c r="I136">
        <v>2499</v>
      </c>
      <c r="J136">
        <v>1</v>
      </c>
      <c r="K136" t="s">
        <v>1647</v>
      </c>
      <c r="L136">
        <v>2499</v>
      </c>
      <c r="M136">
        <v>1499.4</v>
      </c>
      <c r="N136" t="s">
        <v>598</v>
      </c>
      <c r="O136">
        <v>40</v>
      </c>
      <c r="P136">
        <v>999.6</v>
      </c>
      <c r="Q136" t="s">
        <v>70</v>
      </c>
      <c r="R136" t="s">
        <v>46</v>
      </c>
      <c r="S136" t="s">
        <v>226</v>
      </c>
      <c r="T136" t="s">
        <v>62</v>
      </c>
      <c r="U136" t="s">
        <v>61</v>
      </c>
      <c r="V136" s="4">
        <v>45610</v>
      </c>
      <c r="W136" t="s">
        <v>1648</v>
      </c>
      <c r="X136" t="s">
        <v>1650</v>
      </c>
      <c r="Y136" t="s">
        <v>35</v>
      </c>
      <c r="Z136" t="s">
        <v>49</v>
      </c>
      <c r="AA136" t="s">
        <v>158</v>
      </c>
      <c r="AB136" s="4">
        <v>45638</v>
      </c>
      <c r="AC136" t="s">
        <v>1652</v>
      </c>
      <c r="AD136" t="s">
        <v>1653</v>
      </c>
      <c r="AE136" t="s">
        <v>52</v>
      </c>
    </row>
    <row r="137" spans="1:31" x14ac:dyDescent="0.3">
      <c r="A137" t="s">
        <v>719</v>
      </c>
      <c r="B137" s="4">
        <v>45599</v>
      </c>
      <c r="C137" t="s">
        <v>1646</v>
      </c>
      <c r="D137" t="s">
        <v>720</v>
      </c>
      <c r="E137" t="s">
        <v>26</v>
      </c>
      <c r="F137" t="s">
        <v>721</v>
      </c>
      <c r="G137" t="s">
        <v>28</v>
      </c>
      <c r="H137" t="s">
        <v>722</v>
      </c>
      <c r="I137">
        <v>2299</v>
      </c>
      <c r="J137">
        <v>1</v>
      </c>
      <c r="K137" t="s">
        <v>1647</v>
      </c>
      <c r="L137">
        <v>2299</v>
      </c>
      <c r="M137">
        <v>1379.4</v>
      </c>
      <c r="N137" t="s">
        <v>598</v>
      </c>
      <c r="O137">
        <v>40</v>
      </c>
      <c r="P137">
        <v>919.6</v>
      </c>
      <c r="Q137" t="s">
        <v>30</v>
      </c>
      <c r="R137" t="s">
        <v>71</v>
      </c>
      <c r="S137" t="s">
        <v>233</v>
      </c>
      <c r="T137" t="s">
        <v>109</v>
      </c>
      <c r="U137" t="s">
        <v>32</v>
      </c>
      <c r="V137" s="4">
        <v>45611</v>
      </c>
      <c r="W137" t="s">
        <v>1648</v>
      </c>
      <c r="X137" t="s">
        <v>1650</v>
      </c>
      <c r="Y137" t="s">
        <v>35</v>
      </c>
      <c r="Z137" t="s">
        <v>49</v>
      </c>
      <c r="AA137" t="s">
        <v>50</v>
      </c>
      <c r="AB137" s="4">
        <v>45639</v>
      </c>
      <c r="AC137" t="s">
        <v>1652</v>
      </c>
      <c r="AD137" t="s">
        <v>1653</v>
      </c>
      <c r="AE137" t="s">
        <v>52</v>
      </c>
    </row>
    <row r="138" spans="1:31" x14ac:dyDescent="0.3">
      <c r="A138" t="s">
        <v>724</v>
      </c>
      <c r="B138" s="4">
        <v>45599</v>
      </c>
      <c r="C138" t="s">
        <v>1646</v>
      </c>
      <c r="D138" t="s">
        <v>725</v>
      </c>
      <c r="E138" t="s">
        <v>26</v>
      </c>
      <c r="F138" t="s">
        <v>531</v>
      </c>
      <c r="G138" t="s">
        <v>42</v>
      </c>
      <c r="H138" t="s">
        <v>726</v>
      </c>
      <c r="I138">
        <v>5999</v>
      </c>
      <c r="J138">
        <v>1</v>
      </c>
      <c r="K138" t="s">
        <v>1647</v>
      </c>
      <c r="L138">
        <v>5999</v>
      </c>
      <c r="M138">
        <v>3599.4</v>
      </c>
      <c r="N138" t="s">
        <v>598</v>
      </c>
      <c r="O138">
        <v>40</v>
      </c>
      <c r="P138">
        <v>2399.6</v>
      </c>
      <c r="Q138" t="s">
        <v>45</v>
      </c>
      <c r="R138" t="s">
        <v>31</v>
      </c>
      <c r="S138" t="s">
        <v>238</v>
      </c>
      <c r="T138" t="s">
        <v>109</v>
      </c>
      <c r="U138" t="s">
        <v>32</v>
      </c>
      <c r="V138" s="4">
        <v>45612</v>
      </c>
      <c r="W138" t="s">
        <v>1648</v>
      </c>
      <c r="X138" t="s">
        <v>1650</v>
      </c>
      <c r="Y138" t="s">
        <v>35</v>
      </c>
      <c r="Z138" t="s">
        <v>49</v>
      </c>
      <c r="AA138" t="s">
        <v>119</v>
      </c>
      <c r="AB138" s="4">
        <v>45641</v>
      </c>
      <c r="AC138" t="s">
        <v>1652</v>
      </c>
      <c r="AD138" t="s">
        <v>1653</v>
      </c>
      <c r="AE138" t="s">
        <v>52</v>
      </c>
    </row>
    <row r="139" spans="1:31" x14ac:dyDescent="0.3">
      <c r="A139" t="s">
        <v>728</v>
      </c>
      <c r="B139" s="4">
        <v>45599</v>
      </c>
      <c r="C139" t="s">
        <v>1646</v>
      </c>
      <c r="D139" t="s">
        <v>729</v>
      </c>
      <c r="E139" t="s">
        <v>40</v>
      </c>
      <c r="F139" t="s">
        <v>730</v>
      </c>
      <c r="G139" t="s">
        <v>58</v>
      </c>
      <c r="H139" t="s">
        <v>731</v>
      </c>
      <c r="I139">
        <v>2599</v>
      </c>
      <c r="J139">
        <v>1</v>
      </c>
      <c r="K139" t="s">
        <v>1647</v>
      </c>
      <c r="L139">
        <v>2599</v>
      </c>
      <c r="M139">
        <v>1559.4</v>
      </c>
      <c r="N139" t="s">
        <v>598</v>
      </c>
      <c r="O139">
        <v>40</v>
      </c>
      <c r="P139">
        <v>1039.5999999999999</v>
      </c>
      <c r="Q139" t="s">
        <v>60</v>
      </c>
      <c r="R139" t="s">
        <v>46</v>
      </c>
      <c r="S139" t="s">
        <v>243</v>
      </c>
      <c r="T139" t="s">
        <v>130</v>
      </c>
      <c r="U139" t="s">
        <v>47</v>
      </c>
      <c r="V139" s="4">
        <v>45611</v>
      </c>
      <c r="W139" t="s">
        <v>1648</v>
      </c>
      <c r="X139" t="s">
        <v>1650</v>
      </c>
      <c r="Y139" t="s">
        <v>35</v>
      </c>
      <c r="Z139" t="s">
        <v>36</v>
      </c>
      <c r="AB139" s="4"/>
      <c r="AC139" t="s">
        <v>1649</v>
      </c>
      <c r="AD139" t="s">
        <v>1651</v>
      </c>
      <c r="AE139" t="s">
        <v>37</v>
      </c>
    </row>
    <row r="140" spans="1:31" x14ac:dyDescent="0.3">
      <c r="A140" t="s">
        <v>732</v>
      </c>
      <c r="B140" s="4">
        <v>45600</v>
      </c>
      <c r="C140" t="s">
        <v>1646</v>
      </c>
      <c r="D140" t="s">
        <v>733</v>
      </c>
      <c r="E140" t="s">
        <v>26</v>
      </c>
      <c r="F140" t="s">
        <v>734</v>
      </c>
      <c r="G140" t="s">
        <v>67</v>
      </c>
      <c r="H140" t="s">
        <v>735</v>
      </c>
      <c r="I140">
        <v>4299</v>
      </c>
      <c r="J140">
        <v>1</v>
      </c>
      <c r="K140" t="s">
        <v>1647</v>
      </c>
      <c r="L140">
        <v>4299</v>
      </c>
      <c r="M140">
        <v>2579.4</v>
      </c>
      <c r="N140" t="s">
        <v>598</v>
      </c>
      <c r="O140">
        <v>40</v>
      </c>
      <c r="P140">
        <v>1719.6</v>
      </c>
      <c r="Q140" t="s">
        <v>45</v>
      </c>
      <c r="R140" t="s">
        <v>71</v>
      </c>
      <c r="S140" t="s">
        <v>32</v>
      </c>
      <c r="T140" t="s">
        <v>33</v>
      </c>
      <c r="U140" t="s">
        <v>32</v>
      </c>
      <c r="V140" s="4">
        <v>45613</v>
      </c>
      <c r="W140" t="s">
        <v>1648</v>
      </c>
      <c r="X140" t="s">
        <v>1650</v>
      </c>
      <c r="Y140" t="s">
        <v>35</v>
      </c>
      <c r="Z140" t="s">
        <v>49</v>
      </c>
      <c r="AA140" t="s">
        <v>75</v>
      </c>
      <c r="AB140" s="4">
        <v>45642</v>
      </c>
      <c r="AC140" t="s">
        <v>1652</v>
      </c>
      <c r="AD140" t="s">
        <v>1653</v>
      </c>
      <c r="AE140" t="s">
        <v>52</v>
      </c>
    </row>
    <row r="141" spans="1:31" x14ac:dyDescent="0.3">
      <c r="A141" t="s">
        <v>738</v>
      </c>
      <c r="B141" s="4">
        <v>45600</v>
      </c>
      <c r="C141" t="s">
        <v>1646</v>
      </c>
      <c r="D141" t="s">
        <v>739</v>
      </c>
      <c r="E141" t="s">
        <v>26</v>
      </c>
      <c r="F141" t="s">
        <v>740</v>
      </c>
      <c r="G141" t="s">
        <v>79</v>
      </c>
      <c r="H141" t="s">
        <v>741</v>
      </c>
      <c r="I141">
        <v>799</v>
      </c>
      <c r="J141">
        <v>1</v>
      </c>
      <c r="K141" t="s">
        <v>1647</v>
      </c>
      <c r="L141">
        <v>799</v>
      </c>
      <c r="M141">
        <v>479.4</v>
      </c>
      <c r="N141" t="s">
        <v>598</v>
      </c>
      <c r="O141">
        <v>40</v>
      </c>
      <c r="P141">
        <v>319.60000000000002</v>
      </c>
      <c r="Q141" t="s">
        <v>30</v>
      </c>
      <c r="R141" t="s">
        <v>31</v>
      </c>
      <c r="S141" t="s">
        <v>47</v>
      </c>
      <c r="T141" t="s">
        <v>47</v>
      </c>
      <c r="U141" t="s">
        <v>47</v>
      </c>
      <c r="V141" s="4">
        <v>45612</v>
      </c>
      <c r="W141" t="s">
        <v>1648</v>
      </c>
      <c r="X141" t="s">
        <v>1650</v>
      </c>
      <c r="Y141" t="s">
        <v>35</v>
      </c>
      <c r="Z141" t="s">
        <v>36</v>
      </c>
      <c r="AB141" s="4"/>
      <c r="AC141" t="s">
        <v>1649</v>
      </c>
      <c r="AD141" t="s">
        <v>1651</v>
      </c>
      <c r="AE141" t="s">
        <v>37</v>
      </c>
    </row>
    <row r="142" spans="1:31" x14ac:dyDescent="0.3">
      <c r="A142" t="s">
        <v>742</v>
      </c>
      <c r="B142" s="4">
        <v>45600</v>
      </c>
      <c r="C142" t="s">
        <v>1646</v>
      </c>
      <c r="D142" t="s">
        <v>743</v>
      </c>
      <c r="E142" t="s">
        <v>26</v>
      </c>
      <c r="F142" t="s">
        <v>744</v>
      </c>
      <c r="G142" t="s">
        <v>28</v>
      </c>
      <c r="H142" t="s">
        <v>745</v>
      </c>
      <c r="I142">
        <v>1899</v>
      </c>
      <c r="J142">
        <v>1</v>
      </c>
      <c r="K142" t="s">
        <v>1647</v>
      </c>
      <c r="L142">
        <v>1899</v>
      </c>
      <c r="M142">
        <v>1139.4000000000001</v>
      </c>
      <c r="N142" t="s">
        <v>598</v>
      </c>
      <c r="O142">
        <v>40</v>
      </c>
      <c r="P142">
        <v>759.6</v>
      </c>
      <c r="Q142" t="s">
        <v>128</v>
      </c>
      <c r="R142" t="s">
        <v>46</v>
      </c>
      <c r="S142" t="s">
        <v>101</v>
      </c>
      <c r="T142" t="s">
        <v>102</v>
      </c>
      <c r="U142" t="s">
        <v>47</v>
      </c>
      <c r="V142" s="4">
        <v>45613</v>
      </c>
      <c r="W142" t="s">
        <v>1648</v>
      </c>
      <c r="X142" t="s">
        <v>1650</v>
      </c>
      <c r="Y142" t="s">
        <v>35</v>
      </c>
      <c r="Z142" t="s">
        <v>49</v>
      </c>
      <c r="AA142" t="s">
        <v>50</v>
      </c>
      <c r="AB142" s="4">
        <v>45641</v>
      </c>
      <c r="AC142" t="s">
        <v>1652</v>
      </c>
      <c r="AD142" t="s">
        <v>1653</v>
      </c>
      <c r="AE142" t="s">
        <v>52</v>
      </c>
    </row>
    <row r="143" spans="1:31" x14ac:dyDescent="0.3">
      <c r="A143" t="s">
        <v>746</v>
      </c>
      <c r="B143" s="4">
        <v>45601</v>
      </c>
      <c r="C143" t="s">
        <v>1646</v>
      </c>
      <c r="D143" t="s">
        <v>747</v>
      </c>
      <c r="E143" t="s">
        <v>26</v>
      </c>
      <c r="F143" t="s">
        <v>748</v>
      </c>
      <c r="G143" t="s">
        <v>42</v>
      </c>
      <c r="H143" t="s">
        <v>749</v>
      </c>
      <c r="I143">
        <v>4899</v>
      </c>
      <c r="J143">
        <v>1</v>
      </c>
      <c r="K143" t="s">
        <v>1647</v>
      </c>
      <c r="L143">
        <v>4899</v>
      </c>
      <c r="M143">
        <v>2939.4</v>
      </c>
      <c r="N143" t="s">
        <v>598</v>
      </c>
      <c r="O143">
        <v>40</v>
      </c>
      <c r="P143">
        <v>1959.6</v>
      </c>
      <c r="Q143" t="s">
        <v>70</v>
      </c>
      <c r="R143" t="s">
        <v>71</v>
      </c>
      <c r="S143" t="s">
        <v>72</v>
      </c>
      <c r="T143" t="s">
        <v>73</v>
      </c>
      <c r="U143" t="s">
        <v>61</v>
      </c>
      <c r="V143" s="4">
        <v>45614</v>
      </c>
      <c r="W143" t="s">
        <v>1648</v>
      </c>
      <c r="X143" t="s">
        <v>1650</v>
      </c>
      <c r="Y143" t="s">
        <v>35</v>
      </c>
      <c r="Z143" t="s">
        <v>49</v>
      </c>
      <c r="AA143" t="s">
        <v>89</v>
      </c>
      <c r="AB143" s="4">
        <v>45643</v>
      </c>
      <c r="AC143" t="s">
        <v>1652</v>
      </c>
      <c r="AD143" t="s">
        <v>1653</v>
      </c>
      <c r="AE143" t="s">
        <v>52</v>
      </c>
    </row>
    <row r="144" spans="1:31" x14ac:dyDescent="0.3">
      <c r="A144" t="s">
        <v>751</v>
      </c>
      <c r="B144" s="4">
        <v>45601</v>
      </c>
      <c r="C144" t="s">
        <v>1646</v>
      </c>
      <c r="D144" t="s">
        <v>752</v>
      </c>
      <c r="E144" t="s">
        <v>40</v>
      </c>
      <c r="F144" t="s">
        <v>753</v>
      </c>
      <c r="G144" t="s">
        <v>58</v>
      </c>
      <c r="H144" t="s">
        <v>754</v>
      </c>
      <c r="I144">
        <v>1499</v>
      </c>
      <c r="J144">
        <v>1</v>
      </c>
      <c r="K144" t="s">
        <v>1647</v>
      </c>
      <c r="L144">
        <v>1499</v>
      </c>
      <c r="M144">
        <v>899.4</v>
      </c>
      <c r="N144" t="s">
        <v>598</v>
      </c>
      <c r="O144">
        <v>40</v>
      </c>
      <c r="P144">
        <v>599.6</v>
      </c>
      <c r="Q144" t="s">
        <v>45</v>
      </c>
      <c r="R144" t="s">
        <v>31</v>
      </c>
      <c r="S144" t="s">
        <v>86</v>
      </c>
      <c r="T144" t="s">
        <v>87</v>
      </c>
      <c r="U144" t="s">
        <v>61</v>
      </c>
      <c r="V144" s="4">
        <v>45613</v>
      </c>
      <c r="W144" t="s">
        <v>1648</v>
      </c>
      <c r="X144" t="s">
        <v>1650</v>
      </c>
      <c r="Y144" t="s">
        <v>35</v>
      </c>
      <c r="Z144" t="s">
        <v>36</v>
      </c>
      <c r="AB144" s="4"/>
      <c r="AC144" t="s">
        <v>1649</v>
      </c>
      <c r="AD144" t="s">
        <v>1651</v>
      </c>
      <c r="AE144" t="s">
        <v>37</v>
      </c>
    </row>
    <row r="145" spans="1:31" x14ac:dyDescent="0.3">
      <c r="A145" t="s">
        <v>755</v>
      </c>
      <c r="B145" s="4">
        <v>45601</v>
      </c>
      <c r="C145" t="s">
        <v>1646</v>
      </c>
      <c r="D145" t="s">
        <v>756</v>
      </c>
      <c r="E145" t="s">
        <v>26</v>
      </c>
      <c r="F145" t="s">
        <v>757</v>
      </c>
      <c r="G145" t="s">
        <v>67</v>
      </c>
      <c r="H145" t="s">
        <v>758</v>
      </c>
      <c r="I145">
        <v>5699</v>
      </c>
      <c r="J145">
        <v>1</v>
      </c>
      <c r="K145" t="s">
        <v>1647</v>
      </c>
      <c r="L145">
        <v>5699</v>
      </c>
      <c r="M145">
        <v>3419.4</v>
      </c>
      <c r="N145" t="s">
        <v>598</v>
      </c>
      <c r="O145">
        <v>40</v>
      </c>
      <c r="P145">
        <v>2279.6</v>
      </c>
      <c r="Q145" t="s">
        <v>30</v>
      </c>
      <c r="R145" t="s">
        <v>46</v>
      </c>
      <c r="S145" t="s">
        <v>95</v>
      </c>
      <c r="T145" t="s">
        <v>33</v>
      </c>
      <c r="U145" t="s">
        <v>32</v>
      </c>
      <c r="V145" s="4">
        <v>45615</v>
      </c>
      <c r="W145" t="s">
        <v>1648</v>
      </c>
      <c r="X145" t="s">
        <v>1650</v>
      </c>
      <c r="Y145" t="s">
        <v>35</v>
      </c>
      <c r="Z145" t="s">
        <v>49</v>
      </c>
      <c r="AA145" t="s">
        <v>50</v>
      </c>
      <c r="AB145" s="4">
        <v>45644</v>
      </c>
      <c r="AC145" t="s">
        <v>1652</v>
      </c>
      <c r="AD145" t="s">
        <v>1653</v>
      </c>
      <c r="AE145" t="s">
        <v>52</v>
      </c>
    </row>
    <row r="146" spans="1:31" x14ac:dyDescent="0.3">
      <c r="A146" t="s">
        <v>761</v>
      </c>
      <c r="B146" s="4">
        <v>45601</v>
      </c>
      <c r="C146" t="s">
        <v>1646</v>
      </c>
      <c r="D146" t="s">
        <v>762</v>
      </c>
      <c r="E146" t="s">
        <v>26</v>
      </c>
      <c r="F146" t="s">
        <v>763</v>
      </c>
      <c r="G146" t="s">
        <v>79</v>
      </c>
      <c r="H146" t="s">
        <v>764</v>
      </c>
      <c r="I146">
        <v>599</v>
      </c>
      <c r="J146">
        <v>4</v>
      </c>
      <c r="K146" t="s">
        <v>1647</v>
      </c>
      <c r="L146">
        <v>2396</v>
      </c>
      <c r="M146">
        <v>1437.6</v>
      </c>
      <c r="N146" t="s">
        <v>598</v>
      </c>
      <c r="O146">
        <v>40</v>
      </c>
      <c r="P146">
        <v>958.4</v>
      </c>
      <c r="Q146" t="s">
        <v>60</v>
      </c>
      <c r="R146" t="s">
        <v>71</v>
      </c>
      <c r="S146" t="s">
        <v>108</v>
      </c>
      <c r="T146" t="s">
        <v>109</v>
      </c>
      <c r="U146" t="s">
        <v>32</v>
      </c>
      <c r="V146" s="4">
        <v>45614</v>
      </c>
      <c r="W146" t="s">
        <v>1648</v>
      </c>
      <c r="X146" t="s">
        <v>1650</v>
      </c>
      <c r="Y146" t="s">
        <v>35</v>
      </c>
      <c r="Z146" t="s">
        <v>49</v>
      </c>
      <c r="AA146" t="s">
        <v>158</v>
      </c>
      <c r="AB146" s="4">
        <v>45642</v>
      </c>
      <c r="AC146" t="s">
        <v>1652</v>
      </c>
      <c r="AD146" t="s">
        <v>1653</v>
      </c>
      <c r="AE146" t="s">
        <v>52</v>
      </c>
    </row>
    <row r="147" spans="1:31" x14ac:dyDescent="0.3">
      <c r="A147" t="s">
        <v>765</v>
      </c>
      <c r="B147" s="4">
        <v>45602</v>
      </c>
      <c r="C147" t="s">
        <v>1646</v>
      </c>
      <c r="D147" t="s">
        <v>766</v>
      </c>
      <c r="E147" t="s">
        <v>26</v>
      </c>
      <c r="F147" t="s">
        <v>767</v>
      </c>
      <c r="G147" t="s">
        <v>28</v>
      </c>
      <c r="H147" t="s">
        <v>768</v>
      </c>
      <c r="I147">
        <v>2999</v>
      </c>
      <c r="J147">
        <v>1</v>
      </c>
      <c r="K147" t="s">
        <v>1647</v>
      </c>
      <c r="L147">
        <v>2999</v>
      </c>
      <c r="M147">
        <v>2999</v>
      </c>
      <c r="O147">
        <v>0</v>
      </c>
      <c r="P147">
        <v>0</v>
      </c>
      <c r="Q147" t="s">
        <v>45</v>
      </c>
      <c r="R147" t="s">
        <v>31</v>
      </c>
      <c r="S147" t="s">
        <v>116</v>
      </c>
      <c r="T147" t="s">
        <v>117</v>
      </c>
      <c r="U147" t="s">
        <v>47</v>
      </c>
      <c r="V147" s="4">
        <v>45615</v>
      </c>
      <c r="W147" t="s">
        <v>1648</v>
      </c>
      <c r="X147" t="s">
        <v>1650</v>
      </c>
      <c r="Y147" t="s">
        <v>35</v>
      </c>
      <c r="Z147" t="s">
        <v>36</v>
      </c>
      <c r="AB147" s="4"/>
      <c r="AC147" t="s">
        <v>1649</v>
      </c>
      <c r="AD147" t="s">
        <v>1651</v>
      </c>
      <c r="AE147" t="s">
        <v>37</v>
      </c>
    </row>
    <row r="148" spans="1:31" x14ac:dyDescent="0.3">
      <c r="A148" t="s">
        <v>769</v>
      </c>
      <c r="B148" s="4">
        <v>45602</v>
      </c>
      <c r="C148" t="s">
        <v>1646</v>
      </c>
      <c r="D148" t="s">
        <v>770</v>
      </c>
      <c r="E148" t="s">
        <v>26</v>
      </c>
      <c r="F148" t="s">
        <v>771</v>
      </c>
      <c r="G148" t="s">
        <v>42</v>
      </c>
      <c r="H148" t="s">
        <v>772</v>
      </c>
      <c r="I148">
        <v>2799</v>
      </c>
      <c r="J148">
        <v>1</v>
      </c>
      <c r="K148" t="s">
        <v>1647</v>
      </c>
      <c r="L148">
        <v>2799</v>
      </c>
      <c r="M148">
        <v>2799</v>
      </c>
      <c r="O148">
        <v>0</v>
      </c>
      <c r="P148">
        <v>0</v>
      </c>
      <c r="Q148" t="s">
        <v>30</v>
      </c>
      <c r="R148" t="s">
        <v>46</v>
      </c>
      <c r="S148" t="s">
        <v>129</v>
      </c>
      <c r="T148" t="s">
        <v>130</v>
      </c>
      <c r="U148" t="s">
        <v>47</v>
      </c>
      <c r="V148" s="4">
        <v>45616</v>
      </c>
      <c r="W148" t="s">
        <v>1648</v>
      </c>
      <c r="X148" t="s">
        <v>1650</v>
      </c>
      <c r="Y148" t="s">
        <v>35</v>
      </c>
      <c r="Z148" t="s">
        <v>49</v>
      </c>
      <c r="AA148" t="s">
        <v>75</v>
      </c>
      <c r="AB148" s="4">
        <v>45644</v>
      </c>
      <c r="AC148" t="s">
        <v>1652</v>
      </c>
      <c r="AD148" t="s">
        <v>1653</v>
      </c>
      <c r="AE148" t="s">
        <v>52</v>
      </c>
    </row>
    <row r="149" spans="1:31" x14ac:dyDescent="0.3">
      <c r="A149" t="s">
        <v>773</v>
      </c>
      <c r="B149" s="4">
        <v>45602</v>
      </c>
      <c r="C149" t="s">
        <v>1646</v>
      </c>
      <c r="D149" t="s">
        <v>774</v>
      </c>
      <c r="E149" t="s">
        <v>40</v>
      </c>
      <c r="F149" t="s">
        <v>775</v>
      </c>
      <c r="G149" t="s">
        <v>58</v>
      </c>
      <c r="H149" t="s">
        <v>776</v>
      </c>
      <c r="I149">
        <v>1699</v>
      </c>
      <c r="J149">
        <v>1</v>
      </c>
      <c r="K149" t="s">
        <v>1647</v>
      </c>
      <c r="L149">
        <v>1699</v>
      </c>
      <c r="M149">
        <v>1444.15</v>
      </c>
      <c r="N149" t="s">
        <v>777</v>
      </c>
      <c r="O149">
        <v>15</v>
      </c>
      <c r="P149">
        <v>254.85</v>
      </c>
      <c r="Q149" t="s">
        <v>70</v>
      </c>
      <c r="R149" t="s">
        <v>71</v>
      </c>
      <c r="S149" t="s">
        <v>61</v>
      </c>
      <c r="T149" t="s">
        <v>62</v>
      </c>
      <c r="U149" t="s">
        <v>61</v>
      </c>
      <c r="V149" s="4">
        <v>45614</v>
      </c>
      <c r="W149" t="s">
        <v>1648</v>
      </c>
      <c r="X149" t="s">
        <v>1650</v>
      </c>
      <c r="Y149" t="s">
        <v>35</v>
      </c>
      <c r="Z149" t="s">
        <v>36</v>
      </c>
      <c r="AB149" s="4"/>
      <c r="AC149" t="s">
        <v>1649</v>
      </c>
      <c r="AD149" t="s">
        <v>1651</v>
      </c>
      <c r="AE149" t="s">
        <v>37</v>
      </c>
    </row>
    <row r="150" spans="1:31" x14ac:dyDescent="0.3">
      <c r="A150" t="s">
        <v>778</v>
      </c>
      <c r="B150" s="4">
        <v>45603</v>
      </c>
      <c r="C150" t="s">
        <v>1646</v>
      </c>
      <c r="D150" t="s">
        <v>779</v>
      </c>
      <c r="E150" t="s">
        <v>26</v>
      </c>
      <c r="F150" t="s">
        <v>780</v>
      </c>
      <c r="G150" t="s">
        <v>67</v>
      </c>
      <c r="H150" t="s">
        <v>781</v>
      </c>
      <c r="I150">
        <v>4599</v>
      </c>
      <c r="J150">
        <v>1</v>
      </c>
      <c r="K150" t="s">
        <v>1647</v>
      </c>
      <c r="L150">
        <v>4599</v>
      </c>
      <c r="M150">
        <v>4599</v>
      </c>
      <c r="O150">
        <v>0</v>
      </c>
      <c r="P150">
        <v>0</v>
      </c>
      <c r="Q150" t="s">
        <v>45</v>
      </c>
      <c r="R150" t="s">
        <v>31</v>
      </c>
      <c r="S150" t="s">
        <v>32</v>
      </c>
      <c r="T150" t="s">
        <v>33</v>
      </c>
      <c r="U150" t="s">
        <v>32</v>
      </c>
      <c r="V150" s="4">
        <v>45617</v>
      </c>
      <c r="W150" t="s">
        <v>1648</v>
      </c>
      <c r="X150" t="s">
        <v>1650</v>
      </c>
      <c r="Y150" t="s">
        <v>35</v>
      </c>
      <c r="Z150" t="s">
        <v>49</v>
      </c>
      <c r="AA150" t="s">
        <v>50</v>
      </c>
      <c r="AB150" s="4">
        <v>45646</v>
      </c>
      <c r="AC150" t="s">
        <v>1652</v>
      </c>
      <c r="AD150" t="s">
        <v>1653</v>
      </c>
      <c r="AE150" t="s">
        <v>52</v>
      </c>
    </row>
    <row r="151" spans="1:31" x14ac:dyDescent="0.3">
      <c r="A151" t="s">
        <v>784</v>
      </c>
      <c r="B151" s="4">
        <v>45603</v>
      </c>
      <c r="C151" t="s">
        <v>1646</v>
      </c>
      <c r="D151" t="s">
        <v>785</v>
      </c>
      <c r="E151" t="s">
        <v>26</v>
      </c>
      <c r="F151" t="s">
        <v>786</v>
      </c>
      <c r="G151" t="s">
        <v>79</v>
      </c>
      <c r="H151" t="s">
        <v>787</v>
      </c>
      <c r="I151">
        <v>899</v>
      </c>
      <c r="J151">
        <v>1</v>
      </c>
      <c r="K151" t="s">
        <v>1647</v>
      </c>
      <c r="L151">
        <v>899</v>
      </c>
      <c r="M151">
        <v>899</v>
      </c>
      <c r="O151">
        <v>0</v>
      </c>
      <c r="P151">
        <v>0</v>
      </c>
      <c r="Q151" t="s">
        <v>60</v>
      </c>
      <c r="R151" t="s">
        <v>46</v>
      </c>
      <c r="S151" t="s">
        <v>47</v>
      </c>
      <c r="T151" t="s">
        <v>47</v>
      </c>
      <c r="U151" t="s">
        <v>47</v>
      </c>
      <c r="V151" s="4">
        <v>45615</v>
      </c>
      <c r="W151" t="s">
        <v>1648</v>
      </c>
      <c r="X151" t="s">
        <v>1650</v>
      </c>
      <c r="Y151" t="s">
        <v>35</v>
      </c>
      <c r="Z151" t="s">
        <v>36</v>
      </c>
      <c r="AB151" s="4"/>
      <c r="AC151" t="s">
        <v>1649</v>
      </c>
      <c r="AD151" t="s">
        <v>1651</v>
      </c>
      <c r="AE151" t="s">
        <v>37</v>
      </c>
    </row>
    <row r="152" spans="1:31" x14ac:dyDescent="0.3">
      <c r="A152" t="s">
        <v>788</v>
      </c>
      <c r="B152" s="4">
        <v>45603</v>
      </c>
      <c r="C152" t="s">
        <v>1646</v>
      </c>
      <c r="D152" t="s">
        <v>789</v>
      </c>
      <c r="E152" t="s">
        <v>26</v>
      </c>
      <c r="F152" t="s">
        <v>790</v>
      </c>
      <c r="G152" t="s">
        <v>28</v>
      </c>
      <c r="H152" t="s">
        <v>791</v>
      </c>
      <c r="I152">
        <v>1799</v>
      </c>
      <c r="J152">
        <v>1</v>
      </c>
      <c r="K152" t="s">
        <v>1647</v>
      </c>
      <c r="L152">
        <v>1799</v>
      </c>
      <c r="M152">
        <v>1529.15</v>
      </c>
      <c r="N152" t="s">
        <v>777</v>
      </c>
      <c r="O152">
        <v>15</v>
      </c>
      <c r="P152">
        <v>269.85000000000002</v>
      </c>
      <c r="Q152" t="s">
        <v>30</v>
      </c>
      <c r="R152" t="s">
        <v>71</v>
      </c>
      <c r="S152" t="s">
        <v>135</v>
      </c>
      <c r="T152" t="s">
        <v>136</v>
      </c>
      <c r="U152" t="s">
        <v>47</v>
      </c>
      <c r="V152" s="4">
        <v>45616</v>
      </c>
      <c r="W152" t="s">
        <v>1648</v>
      </c>
      <c r="X152" t="s">
        <v>1650</v>
      </c>
      <c r="Y152" t="s">
        <v>35</v>
      </c>
      <c r="Z152" t="s">
        <v>49</v>
      </c>
      <c r="AA152" t="s">
        <v>119</v>
      </c>
      <c r="AB152" s="4">
        <v>45645</v>
      </c>
      <c r="AC152" t="s">
        <v>1652</v>
      </c>
      <c r="AD152" t="s">
        <v>1653</v>
      </c>
      <c r="AE152" t="s">
        <v>52</v>
      </c>
    </row>
    <row r="153" spans="1:31" x14ac:dyDescent="0.3">
      <c r="A153" t="s">
        <v>793</v>
      </c>
      <c r="B153" s="4">
        <v>45604</v>
      </c>
      <c r="C153" t="s">
        <v>1646</v>
      </c>
      <c r="D153" t="s">
        <v>794</v>
      </c>
      <c r="E153" t="s">
        <v>26</v>
      </c>
      <c r="F153" t="s">
        <v>795</v>
      </c>
      <c r="G153" t="s">
        <v>42</v>
      </c>
      <c r="H153" t="s">
        <v>796</v>
      </c>
      <c r="I153">
        <v>2599</v>
      </c>
      <c r="J153">
        <v>1</v>
      </c>
      <c r="K153" t="s">
        <v>1647</v>
      </c>
      <c r="L153">
        <v>2599</v>
      </c>
      <c r="M153">
        <v>2599</v>
      </c>
      <c r="O153">
        <v>0</v>
      </c>
      <c r="P153">
        <v>0</v>
      </c>
      <c r="Q153" t="s">
        <v>128</v>
      </c>
      <c r="R153" t="s">
        <v>31</v>
      </c>
      <c r="S153" t="s">
        <v>156</v>
      </c>
      <c r="T153" t="s">
        <v>130</v>
      </c>
      <c r="U153" t="s">
        <v>47</v>
      </c>
      <c r="V153" s="4">
        <v>45618</v>
      </c>
      <c r="W153" t="s">
        <v>1648</v>
      </c>
      <c r="X153" t="s">
        <v>1650</v>
      </c>
      <c r="Y153" t="s">
        <v>35</v>
      </c>
      <c r="Z153" t="s">
        <v>36</v>
      </c>
      <c r="AB153" s="4"/>
      <c r="AC153" t="s">
        <v>1649</v>
      </c>
      <c r="AD153" t="s">
        <v>1651</v>
      </c>
      <c r="AE153" t="s">
        <v>37</v>
      </c>
    </row>
    <row r="154" spans="1:31" x14ac:dyDescent="0.3">
      <c r="A154" t="s">
        <v>797</v>
      </c>
      <c r="B154" s="4">
        <v>45604</v>
      </c>
      <c r="C154" t="s">
        <v>1646</v>
      </c>
      <c r="D154" t="s">
        <v>798</v>
      </c>
      <c r="E154" t="s">
        <v>40</v>
      </c>
      <c r="F154" t="s">
        <v>799</v>
      </c>
      <c r="G154" t="s">
        <v>58</v>
      </c>
      <c r="H154" t="s">
        <v>800</v>
      </c>
      <c r="I154">
        <v>1599</v>
      </c>
      <c r="J154">
        <v>1</v>
      </c>
      <c r="K154" t="s">
        <v>1647</v>
      </c>
      <c r="L154">
        <v>1599</v>
      </c>
      <c r="M154">
        <v>1599</v>
      </c>
      <c r="O154">
        <v>0</v>
      </c>
      <c r="P154">
        <v>0</v>
      </c>
      <c r="Q154" t="s">
        <v>45</v>
      </c>
      <c r="R154" t="s">
        <v>46</v>
      </c>
      <c r="S154" t="s">
        <v>164</v>
      </c>
      <c r="T154" t="s">
        <v>165</v>
      </c>
      <c r="U154" t="s">
        <v>47</v>
      </c>
      <c r="V154" s="4">
        <v>45616</v>
      </c>
      <c r="W154" t="s">
        <v>1648</v>
      </c>
      <c r="X154" t="s">
        <v>1650</v>
      </c>
      <c r="Y154" t="s">
        <v>35</v>
      </c>
      <c r="Z154" t="s">
        <v>49</v>
      </c>
      <c r="AA154" t="s">
        <v>89</v>
      </c>
      <c r="AB154" s="4">
        <v>45644</v>
      </c>
      <c r="AC154" t="s">
        <v>1652</v>
      </c>
      <c r="AD154" t="s">
        <v>1653</v>
      </c>
      <c r="AE154" t="s">
        <v>52</v>
      </c>
    </row>
    <row r="155" spans="1:31" x14ac:dyDescent="0.3">
      <c r="A155" t="s">
        <v>801</v>
      </c>
      <c r="B155" s="4">
        <v>45604</v>
      </c>
      <c r="C155" t="s">
        <v>1646</v>
      </c>
      <c r="D155" t="s">
        <v>802</v>
      </c>
      <c r="E155" t="s">
        <v>26</v>
      </c>
      <c r="F155" t="s">
        <v>803</v>
      </c>
      <c r="G155" t="s">
        <v>67</v>
      </c>
      <c r="H155" t="s">
        <v>804</v>
      </c>
      <c r="I155">
        <v>5299</v>
      </c>
      <c r="J155">
        <v>1</v>
      </c>
      <c r="K155" t="s">
        <v>1647</v>
      </c>
      <c r="L155">
        <v>5299</v>
      </c>
      <c r="M155">
        <v>4504.1499999999996</v>
      </c>
      <c r="N155" t="s">
        <v>777</v>
      </c>
      <c r="O155">
        <v>15</v>
      </c>
      <c r="P155">
        <v>794.85</v>
      </c>
      <c r="Q155" t="s">
        <v>70</v>
      </c>
      <c r="R155" t="s">
        <v>71</v>
      </c>
      <c r="S155" t="s">
        <v>171</v>
      </c>
      <c r="T155" t="s">
        <v>172</v>
      </c>
      <c r="U155" t="s">
        <v>32</v>
      </c>
      <c r="V155" s="4">
        <v>45619</v>
      </c>
      <c r="W155" t="s">
        <v>1648</v>
      </c>
      <c r="X155" t="s">
        <v>1650</v>
      </c>
      <c r="Y155" t="s">
        <v>35</v>
      </c>
      <c r="Z155" t="s">
        <v>36</v>
      </c>
      <c r="AB155" s="4"/>
      <c r="AC155" t="s">
        <v>1649</v>
      </c>
      <c r="AD155" t="s">
        <v>1651</v>
      </c>
      <c r="AE155" t="s">
        <v>37</v>
      </c>
    </row>
    <row r="156" spans="1:31" x14ac:dyDescent="0.3">
      <c r="A156" t="s">
        <v>806</v>
      </c>
      <c r="B156" s="4">
        <v>45605</v>
      </c>
      <c r="C156" t="s">
        <v>1646</v>
      </c>
      <c r="D156" t="s">
        <v>807</v>
      </c>
      <c r="E156" t="s">
        <v>26</v>
      </c>
      <c r="F156" t="s">
        <v>808</v>
      </c>
      <c r="G156" t="s">
        <v>79</v>
      </c>
      <c r="H156" t="s">
        <v>809</v>
      </c>
      <c r="I156">
        <v>499</v>
      </c>
      <c r="J156">
        <v>3</v>
      </c>
      <c r="K156" t="s">
        <v>1647</v>
      </c>
      <c r="L156">
        <v>1497</v>
      </c>
      <c r="M156">
        <v>1497</v>
      </c>
      <c r="O156">
        <v>0</v>
      </c>
      <c r="P156">
        <v>0</v>
      </c>
      <c r="Q156" t="s">
        <v>30</v>
      </c>
      <c r="R156" t="s">
        <v>31</v>
      </c>
      <c r="S156" t="s">
        <v>177</v>
      </c>
      <c r="T156" t="s">
        <v>109</v>
      </c>
      <c r="U156" t="s">
        <v>32</v>
      </c>
      <c r="V156" s="4">
        <v>45617</v>
      </c>
      <c r="W156" t="s">
        <v>1648</v>
      </c>
      <c r="X156" t="s">
        <v>1650</v>
      </c>
      <c r="Y156" t="s">
        <v>35</v>
      </c>
      <c r="Z156" t="s">
        <v>49</v>
      </c>
      <c r="AA156" t="s">
        <v>158</v>
      </c>
      <c r="AB156" s="4">
        <v>45645</v>
      </c>
      <c r="AC156" t="s">
        <v>1652</v>
      </c>
      <c r="AD156" t="s">
        <v>1653</v>
      </c>
      <c r="AE156" t="s">
        <v>52</v>
      </c>
    </row>
    <row r="157" spans="1:31" x14ac:dyDescent="0.3">
      <c r="A157" t="s">
        <v>810</v>
      </c>
      <c r="B157" s="4">
        <v>45605</v>
      </c>
      <c r="C157" t="s">
        <v>1646</v>
      </c>
      <c r="D157" t="s">
        <v>811</v>
      </c>
      <c r="E157" t="s">
        <v>26</v>
      </c>
      <c r="F157" t="s">
        <v>812</v>
      </c>
      <c r="G157" t="s">
        <v>28</v>
      </c>
      <c r="H157" t="s">
        <v>813</v>
      </c>
      <c r="I157">
        <v>2099</v>
      </c>
      <c r="J157">
        <v>1</v>
      </c>
      <c r="K157" t="s">
        <v>1647</v>
      </c>
      <c r="L157">
        <v>2099</v>
      </c>
      <c r="M157">
        <v>2099</v>
      </c>
      <c r="O157">
        <v>0</v>
      </c>
      <c r="P157">
        <v>0</v>
      </c>
      <c r="Q157" t="s">
        <v>60</v>
      </c>
      <c r="R157" t="s">
        <v>46</v>
      </c>
      <c r="S157" t="s">
        <v>184</v>
      </c>
      <c r="T157" t="s">
        <v>185</v>
      </c>
      <c r="U157" t="s">
        <v>47</v>
      </c>
      <c r="V157" s="4"/>
      <c r="W157" t="s">
        <v>1656</v>
      </c>
      <c r="X157" t="s">
        <v>1657</v>
      </c>
      <c r="Y157" t="s">
        <v>137</v>
      </c>
      <c r="Z157" t="s">
        <v>36</v>
      </c>
      <c r="AB157" s="4"/>
      <c r="AC157" t="s">
        <v>1656</v>
      </c>
      <c r="AD157" t="s">
        <v>1651</v>
      </c>
      <c r="AE157" t="s">
        <v>37</v>
      </c>
    </row>
    <row r="158" spans="1:31" x14ac:dyDescent="0.3">
      <c r="A158" t="s">
        <v>814</v>
      </c>
      <c r="B158" s="4">
        <v>45605</v>
      </c>
      <c r="C158" t="s">
        <v>1646</v>
      </c>
      <c r="D158" t="s">
        <v>815</v>
      </c>
      <c r="E158" t="s">
        <v>26</v>
      </c>
      <c r="F158" t="s">
        <v>816</v>
      </c>
      <c r="G158" t="s">
        <v>42</v>
      </c>
      <c r="H158" t="s">
        <v>817</v>
      </c>
      <c r="I158">
        <v>2399</v>
      </c>
      <c r="J158">
        <v>1</v>
      </c>
      <c r="K158" t="s">
        <v>1647</v>
      </c>
      <c r="L158">
        <v>2399</v>
      </c>
      <c r="M158">
        <v>2039.15</v>
      </c>
      <c r="N158" t="s">
        <v>777</v>
      </c>
      <c r="O158">
        <v>15</v>
      </c>
      <c r="P158">
        <v>359.85</v>
      </c>
      <c r="Q158" t="s">
        <v>45</v>
      </c>
      <c r="R158" t="s">
        <v>71</v>
      </c>
      <c r="S158" t="s">
        <v>190</v>
      </c>
      <c r="T158" t="s">
        <v>172</v>
      </c>
      <c r="U158" t="s">
        <v>32</v>
      </c>
      <c r="V158" s="4">
        <v>45620</v>
      </c>
      <c r="W158" t="s">
        <v>1648</v>
      </c>
      <c r="X158" t="s">
        <v>1650</v>
      </c>
      <c r="Y158" t="s">
        <v>35</v>
      </c>
      <c r="Z158" t="s">
        <v>49</v>
      </c>
      <c r="AA158" t="s">
        <v>50</v>
      </c>
      <c r="AB158" s="4">
        <v>45648</v>
      </c>
      <c r="AC158" t="s">
        <v>1652</v>
      </c>
      <c r="AD158" t="s">
        <v>1653</v>
      </c>
      <c r="AE158" t="s">
        <v>52</v>
      </c>
    </row>
    <row r="159" spans="1:31" x14ac:dyDescent="0.3">
      <c r="A159" t="s">
        <v>819</v>
      </c>
      <c r="B159" s="4">
        <v>45606</v>
      </c>
      <c r="C159" t="s">
        <v>1646</v>
      </c>
      <c r="D159" t="s">
        <v>820</v>
      </c>
      <c r="E159" t="s">
        <v>40</v>
      </c>
      <c r="F159" t="s">
        <v>821</v>
      </c>
      <c r="G159" t="s">
        <v>58</v>
      </c>
      <c r="H159" t="s">
        <v>822</v>
      </c>
      <c r="I159">
        <v>1799</v>
      </c>
      <c r="J159">
        <v>1</v>
      </c>
      <c r="K159" t="s">
        <v>1647</v>
      </c>
      <c r="L159">
        <v>1799</v>
      </c>
      <c r="M159">
        <v>1799</v>
      </c>
      <c r="O159">
        <v>0</v>
      </c>
      <c r="P159">
        <v>0</v>
      </c>
      <c r="Q159" t="s">
        <v>128</v>
      </c>
      <c r="R159" t="s">
        <v>31</v>
      </c>
      <c r="S159" t="s">
        <v>195</v>
      </c>
      <c r="T159" t="s">
        <v>33</v>
      </c>
      <c r="U159" t="s">
        <v>32</v>
      </c>
      <c r="V159" s="4">
        <v>45618</v>
      </c>
      <c r="W159" t="s">
        <v>1648</v>
      </c>
      <c r="X159" t="s">
        <v>1650</v>
      </c>
      <c r="Y159" t="s">
        <v>35</v>
      </c>
      <c r="Z159" t="s">
        <v>36</v>
      </c>
      <c r="AB159" s="4"/>
      <c r="AC159" t="s">
        <v>1649</v>
      </c>
      <c r="AD159" t="s">
        <v>1651</v>
      </c>
      <c r="AE159" t="s">
        <v>37</v>
      </c>
    </row>
    <row r="160" spans="1:31" x14ac:dyDescent="0.3">
      <c r="A160" t="s">
        <v>823</v>
      </c>
      <c r="B160" s="4">
        <v>45575</v>
      </c>
      <c r="C160" t="s">
        <v>1646</v>
      </c>
      <c r="D160" t="s">
        <v>824</v>
      </c>
      <c r="E160" t="s">
        <v>26</v>
      </c>
      <c r="F160" t="s">
        <v>825</v>
      </c>
      <c r="G160" t="s">
        <v>67</v>
      </c>
      <c r="H160" t="s">
        <v>826</v>
      </c>
      <c r="I160">
        <v>4199</v>
      </c>
      <c r="J160">
        <v>1</v>
      </c>
      <c r="K160" t="s">
        <v>1647</v>
      </c>
      <c r="L160">
        <v>4199</v>
      </c>
      <c r="M160">
        <v>4199</v>
      </c>
      <c r="O160">
        <v>0</v>
      </c>
      <c r="P160">
        <v>0</v>
      </c>
      <c r="Q160" t="s">
        <v>30</v>
      </c>
      <c r="R160" t="s">
        <v>46</v>
      </c>
      <c r="S160" t="s">
        <v>202</v>
      </c>
      <c r="T160" t="s">
        <v>73</v>
      </c>
      <c r="U160" t="s">
        <v>61</v>
      </c>
      <c r="V160" s="4">
        <v>45621</v>
      </c>
      <c r="W160" t="s">
        <v>1648</v>
      </c>
      <c r="X160" t="s">
        <v>1655</v>
      </c>
      <c r="Y160" t="s">
        <v>35</v>
      </c>
      <c r="Z160" t="s">
        <v>49</v>
      </c>
      <c r="AA160" t="s">
        <v>75</v>
      </c>
      <c r="AB160" s="4">
        <v>45650</v>
      </c>
      <c r="AC160" t="s">
        <v>1652</v>
      </c>
      <c r="AD160" t="s">
        <v>1653</v>
      </c>
      <c r="AE160" t="s">
        <v>52</v>
      </c>
    </row>
    <row r="161" spans="1:31" x14ac:dyDescent="0.3">
      <c r="A161" t="s">
        <v>828</v>
      </c>
      <c r="B161" s="4">
        <v>45606</v>
      </c>
      <c r="C161" t="s">
        <v>1646</v>
      </c>
      <c r="D161" t="s">
        <v>829</v>
      </c>
      <c r="E161" t="s">
        <v>26</v>
      </c>
      <c r="F161" t="s">
        <v>830</v>
      </c>
      <c r="G161" t="s">
        <v>79</v>
      </c>
      <c r="H161" t="s">
        <v>831</v>
      </c>
      <c r="I161">
        <v>699</v>
      </c>
      <c r="J161">
        <v>2</v>
      </c>
      <c r="K161" t="s">
        <v>1647</v>
      </c>
      <c r="L161">
        <v>1398</v>
      </c>
      <c r="M161">
        <v>1398</v>
      </c>
      <c r="O161">
        <v>0</v>
      </c>
      <c r="P161">
        <v>0</v>
      </c>
      <c r="Q161" t="s">
        <v>70</v>
      </c>
      <c r="R161" t="s">
        <v>71</v>
      </c>
      <c r="S161" t="s">
        <v>208</v>
      </c>
      <c r="T161" t="s">
        <v>209</v>
      </c>
      <c r="U161" t="s">
        <v>61</v>
      </c>
      <c r="V161" s="4">
        <v>45619</v>
      </c>
      <c r="W161" t="s">
        <v>1648</v>
      </c>
      <c r="X161" t="s">
        <v>1650</v>
      </c>
      <c r="Y161" t="s">
        <v>35</v>
      </c>
      <c r="Z161" t="s">
        <v>36</v>
      </c>
      <c r="AB161" s="4"/>
      <c r="AC161" t="s">
        <v>1649</v>
      </c>
      <c r="AD161" t="s">
        <v>1651</v>
      </c>
      <c r="AE161" t="s">
        <v>37</v>
      </c>
    </row>
    <row r="162" spans="1:31" x14ac:dyDescent="0.3">
      <c r="A162" t="s">
        <v>832</v>
      </c>
      <c r="B162" s="4">
        <v>45607</v>
      </c>
      <c r="C162" t="s">
        <v>1646</v>
      </c>
      <c r="D162" t="s">
        <v>833</v>
      </c>
      <c r="E162" t="s">
        <v>26</v>
      </c>
      <c r="F162" t="s">
        <v>557</v>
      </c>
      <c r="G162" t="s">
        <v>28</v>
      </c>
      <c r="H162" t="s">
        <v>834</v>
      </c>
      <c r="I162">
        <v>1599</v>
      </c>
      <c r="J162">
        <v>1</v>
      </c>
      <c r="K162" t="s">
        <v>1647</v>
      </c>
      <c r="L162">
        <v>1599</v>
      </c>
      <c r="M162">
        <v>1359.15</v>
      </c>
      <c r="N162" t="s">
        <v>777</v>
      </c>
      <c r="O162">
        <v>15</v>
      </c>
      <c r="P162">
        <v>239.85</v>
      </c>
      <c r="Q162" t="s">
        <v>45</v>
      </c>
      <c r="R162" t="s">
        <v>31</v>
      </c>
      <c r="S162" t="s">
        <v>215</v>
      </c>
      <c r="T162" t="s">
        <v>216</v>
      </c>
      <c r="U162" t="s">
        <v>61</v>
      </c>
      <c r="V162" s="4">
        <v>45620</v>
      </c>
      <c r="W162" t="s">
        <v>1648</v>
      </c>
      <c r="X162" t="s">
        <v>1650</v>
      </c>
      <c r="Y162" t="s">
        <v>35</v>
      </c>
      <c r="Z162" t="s">
        <v>49</v>
      </c>
      <c r="AA162" t="s">
        <v>50</v>
      </c>
      <c r="AB162" s="4">
        <v>45649</v>
      </c>
      <c r="AC162" t="s">
        <v>1652</v>
      </c>
      <c r="AD162" t="s">
        <v>1653</v>
      </c>
      <c r="AE162" t="s">
        <v>52</v>
      </c>
    </row>
    <row r="163" spans="1:31" x14ac:dyDescent="0.3">
      <c r="A163" t="s">
        <v>836</v>
      </c>
      <c r="B163" s="4">
        <v>45607</v>
      </c>
      <c r="C163" t="s">
        <v>1646</v>
      </c>
      <c r="D163" t="s">
        <v>837</v>
      </c>
      <c r="E163" t="s">
        <v>26</v>
      </c>
      <c r="F163" t="s">
        <v>838</v>
      </c>
      <c r="G163" t="s">
        <v>42</v>
      </c>
      <c r="H163" t="s">
        <v>839</v>
      </c>
      <c r="I163">
        <v>2899</v>
      </c>
      <c r="J163">
        <v>1</v>
      </c>
      <c r="K163" t="s">
        <v>1647</v>
      </c>
      <c r="L163">
        <v>2899</v>
      </c>
      <c r="M163">
        <v>2899</v>
      </c>
      <c r="O163">
        <v>0</v>
      </c>
      <c r="P163">
        <v>0</v>
      </c>
      <c r="Q163" t="s">
        <v>60</v>
      </c>
      <c r="R163" t="s">
        <v>46</v>
      </c>
      <c r="S163" t="s">
        <v>221</v>
      </c>
      <c r="T163" t="s">
        <v>209</v>
      </c>
      <c r="U163" t="s">
        <v>61</v>
      </c>
      <c r="V163" s="4">
        <v>45622</v>
      </c>
      <c r="W163" t="s">
        <v>1648</v>
      </c>
      <c r="X163" t="s">
        <v>1650</v>
      </c>
      <c r="Y163" t="s">
        <v>35</v>
      </c>
      <c r="Z163" t="s">
        <v>49</v>
      </c>
      <c r="AA163" t="s">
        <v>119</v>
      </c>
      <c r="AB163" s="4">
        <v>45651</v>
      </c>
      <c r="AC163" t="s">
        <v>1652</v>
      </c>
      <c r="AD163" t="s">
        <v>1653</v>
      </c>
      <c r="AE163" t="s">
        <v>52</v>
      </c>
    </row>
    <row r="164" spans="1:31" x14ac:dyDescent="0.3">
      <c r="A164" t="s">
        <v>841</v>
      </c>
      <c r="B164" s="4">
        <v>45607</v>
      </c>
      <c r="C164" t="s">
        <v>1646</v>
      </c>
      <c r="D164" t="s">
        <v>842</v>
      </c>
      <c r="E164" t="s">
        <v>40</v>
      </c>
      <c r="F164" t="s">
        <v>843</v>
      </c>
      <c r="G164" t="s">
        <v>58</v>
      </c>
      <c r="H164" t="s">
        <v>844</v>
      </c>
      <c r="I164">
        <v>2199</v>
      </c>
      <c r="J164">
        <v>1</v>
      </c>
      <c r="K164" t="s">
        <v>1647</v>
      </c>
      <c r="L164">
        <v>2199</v>
      </c>
      <c r="M164">
        <v>2199</v>
      </c>
      <c r="O164">
        <v>0</v>
      </c>
      <c r="P164">
        <v>0</v>
      </c>
      <c r="Q164" t="s">
        <v>30</v>
      </c>
      <c r="R164" t="s">
        <v>71</v>
      </c>
      <c r="S164" t="s">
        <v>226</v>
      </c>
      <c r="T164" t="s">
        <v>62</v>
      </c>
      <c r="U164" t="s">
        <v>61</v>
      </c>
      <c r="V164" s="4">
        <v>45620</v>
      </c>
      <c r="W164" t="s">
        <v>1648</v>
      </c>
      <c r="X164" t="s">
        <v>1650</v>
      </c>
      <c r="Y164" t="s">
        <v>35</v>
      </c>
      <c r="Z164" t="s">
        <v>36</v>
      </c>
      <c r="AB164" s="4"/>
      <c r="AC164" t="s">
        <v>1649</v>
      </c>
      <c r="AD164" t="s">
        <v>1651</v>
      </c>
      <c r="AE164" t="s">
        <v>37</v>
      </c>
    </row>
    <row r="165" spans="1:31" x14ac:dyDescent="0.3">
      <c r="A165" t="s">
        <v>845</v>
      </c>
      <c r="B165" s="4">
        <v>45608</v>
      </c>
      <c r="C165" t="s">
        <v>1646</v>
      </c>
      <c r="D165" t="s">
        <v>846</v>
      </c>
      <c r="E165" t="s">
        <v>26</v>
      </c>
      <c r="F165" t="s">
        <v>847</v>
      </c>
      <c r="G165" t="s">
        <v>67</v>
      </c>
      <c r="H165" t="s">
        <v>848</v>
      </c>
      <c r="I165">
        <v>5599</v>
      </c>
      <c r="J165">
        <v>1</v>
      </c>
      <c r="K165" t="s">
        <v>1647</v>
      </c>
      <c r="L165">
        <v>5599</v>
      </c>
      <c r="M165">
        <v>5599</v>
      </c>
      <c r="O165">
        <v>0</v>
      </c>
      <c r="P165">
        <v>0</v>
      </c>
      <c r="Q165" t="s">
        <v>45</v>
      </c>
      <c r="R165" t="s">
        <v>31</v>
      </c>
      <c r="S165" t="s">
        <v>233</v>
      </c>
      <c r="T165" t="s">
        <v>109</v>
      </c>
      <c r="U165" t="s">
        <v>32</v>
      </c>
      <c r="V165" s="4">
        <v>45623</v>
      </c>
      <c r="W165" t="s">
        <v>1648</v>
      </c>
      <c r="X165" t="s">
        <v>1650</v>
      </c>
      <c r="Y165" t="s">
        <v>35</v>
      </c>
      <c r="Z165" t="s">
        <v>49</v>
      </c>
      <c r="AA165" t="s">
        <v>89</v>
      </c>
      <c r="AB165" s="4">
        <v>45652</v>
      </c>
      <c r="AC165" t="s">
        <v>1652</v>
      </c>
      <c r="AD165" t="s">
        <v>1653</v>
      </c>
      <c r="AE165" t="s">
        <v>52</v>
      </c>
    </row>
    <row r="166" spans="1:31" x14ac:dyDescent="0.3">
      <c r="A166" t="s">
        <v>851</v>
      </c>
      <c r="B166" s="4">
        <v>45608</v>
      </c>
      <c r="C166" t="s">
        <v>1646</v>
      </c>
      <c r="D166" t="s">
        <v>852</v>
      </c>
      <c r="E166" t="s">
        <v>26</v>
      </c>
      <c r="F166" t="s">
        <v>853</v>
      </c>
      <c r="G166" t="s">
        <v>79</v>
      </c>
      <c r="H166" t="s">
        <v>854</v>
      </c>
      <c r="I166">
        <v>399</v>
      </c>
      <c r="J166">
        <v>2</v>
      </c>
      <c r="K166" t="s">
        <v>1647</v>
      </c>
      <c r="L166">
        <v>798</v>
      </c>
      <c r="M166">
        <v>678.3</v>
      </c>
      <c r="N166" t="s">
        <v>777</v>
      </c>
      <c r="O166">
        <v>15</v>
      </c>
      <c r="P166">
        <v>119.7</v>
      </c>
      <c r="Q166" t="s">
        <v>128</v>
      </c>
      <c r="R166" t="s">
        <v>46</v>
      </c>
      <c r="S166" t="s">
        <v>238</v>
      </c>
      <c r="T166" t="s">
        <v>109</v>
      </c>
      <c r="U166" t="s">
        <v>32</v>
      </c>
      <c r="V166" s="4">
        <v>45621</v>
      </c>
      <c r="W166" t="s">
        <v>1648</v>
      </c>
      <c r="X166" t="s">
        <v>1650</v>
      </c>
      <c r="Y166" t="s">
        <v>35</v>
      </c>
      <c r="Z166" t="s">
        <v>36</v>
      </c>
      <c r="AB166" s="4"/>
      <c r="AC166" t="s">
        <v>1649</v>
      </c>
      <c r="AD166" t="s">
        <v>1651</v>
      </c>
      <c r="AE166" t="s">
        <v>37</v>
      </c>
    </row>
    <row r="167" spans="1:31" x14ac:dyDescent="0.3">
      <c r="A167" t="s">
        <v>855</v>
      </c>
      <c r="B167" s="4">
        <v>45608</v>
      </c>
      <c r="C167" t="s">
        <v>1646</v>
      </c>
      <c r="D167" t="s">
        <v>856</v>
      </c>
      <c r="E167" t="s">
        <v>26</v>
      </c>
      <c r="F167" t="s">
        <v>857</v>
      </c>
      <c r="G167" t="s">
        <v>28</v>
      </c>
      <c r="H167" t="s">
        <v>858</v>
      </c>
      <c r="I167">
        <v>1899</v>
      </c>
      <c r="J167">
        <v>1</v>
      </c>
      <c r="K167" t="s">
        <v>1647</v>
      </c>
      <c r="L167">
        <v>1899</v>
      </c>
      <c r="M167">
        <v>1899</v>
      </c>
      <c r="O167">
        <v>0</v>
      </c>
      <c r="P167">
        <v>0</v>
      </c>
      <c r="Q167" t="s">
        <v>70</v>
      </c>
      <c r="R167" t="s">
        <v>71</v>
      </c>
      <c r="S167" t="s">
        <v>243</v>
      </c>
      <c r="T167" t="s">
        <v>130</v>
      </c>
      <c r="U167" t="s">
        <v>47</v>
      </c>
      <c r="V167" s="4">
        <v>45622</v>
      </c>
      <c r="W167" t="s">
        <v>1648</v>
      </c>
      <c r="X167" t="s">
        <v>1650</v>
      </c>
      <c r="Y167" t="s">
        <v>35</v>
      </c>
      <c r="Z167" t="s">
        <v>49</v>
      </c>
      <c r="AA167" t="s">
        <v>75</v>
      </c>
      <c r="AB167" s="4">
        <v>45650</v>
      </c>
      <c r="AC167" t="s">
        <v>1652</v>
      </c>
      <c r="AD167" t="s">
        <v>1653</v>
      </c>
      <c r="AE167" t="s">
        <v>52</v>
      </c>
    </row>
    <row r="168" spans="1:31" x14ac:dyDescent="0.3">
      <c r="A168" t="s">
        <v>859</v>
      </c>
      <c r="B168" s="4">
        <v>45609</v>
      </c>
      <c r="C168" t="s">
        <v>1646</v>
      </c>
      <c r="D168" t="s">
        <v>860</v>
      </c>
      <c r="E168" t="s">
        <v>26</v>
      </c>
      <c r="F168" t="s">
        <v>861</v>
      </c>
      <c r="G168" t="s">
        <v>42</v>
      </c>
      <c r="H168" t="s">
        <v>862</v>
      </c>
      <c r="I168">
        <v>2699</v>
      </c>
      <c r="J168">
        <v>1</v>
      </c>
      <c r="K168" t="s">
        <v>1647</v>
      </c>
      <c r="L168">
        <v>2699</v>
      </c>
      <c r="M168">
        <v>2699</v>
      </c>
      <c r="O168">
        <v>0</v>
      </c>
      <c r="P168">
        <v>0</v>
      </c>
      <c r="Q168" t="s">
        <v>30</v>
      </c>
      <c r="R168" t="s">
        <v>31</v>
      </c>
      <c r="S168" t="s">
        <v>32</v>
      </c>
      <c r="T168" t="s">
        <v>33</v>
      </c>
      <c r="U168" t="s">
        <v>32</v>
      </c>
      <c r="V168" s="4">
        <v>45624</v>
      </c>
      <c r="W168" t="s">
        <v>1648</v>
      </c>
      <c r="X168" t="s">
        <v>1650</v>
      </c>
      <c r="Y168" t="s">
        <v>35</v>
      </c>
      <c r="Z168" t="s">
        <v>36</v>
      </c>
      <c r="AB168" s="4"/>
      <c r="AC168" t="s">
        <v>1649</v>
      </c>
      <c r="AD168" t="s">
        <v>1651</v>
      </c>
      <c r="AE168" t="s">
        <v>37</v>
      </c>
    </row>
    <row r="169" spans="1:31" x14ac:dyDescent="0.3">
      <c r="A169" t="s">
        <v>863</v>
      </c>
      <c r="B169" s="4">
        <v>45609</v>
      </c>
      <c r="C169" t="s">
        <v>1646</v>
      </c>
      <c r="D169" t="s">
        <v>864</v>
      </c>
      <c r="E169" t="s">
        <v>40</v>
      </c>
      <c r="F169" t="s">
        <v>865</v>
      </c>
      <c r="G169" t="s">
        <v>58</v>
      </c>
      <c r="H169" t="s">
        <v>866</v>
      </c>
      <c r="I169">
        <v>2499</v>
      </c>
      <c r="J169">
        <v>1</v>
      </c>
      <c r="K169" t="s">
        <v>1647</v>
      </c>
      <c r="L169">
        <v>2499</v>
      </c>
      <c r="M169">
        <v>2124.15</v>
      </c>
      <c r="N169" t="s">
        <v>777</v>
      </c>
      <c r="O169">
        <v>15</v>
      </c>
      <c r="P169">
        <v>374.85</v>
      </c>
      <c r="Q169" t="s">
        <v>45</v>
      </c>
      <c r="R169" t="s">
        <v>46</v>
      </c>
      <c r="S169" t="s">
        <v>47</v>
      </c>
      <c r="T169" t="s">
        <v>47</v>
      </c>
      <c r="U169" t="s">
        <v>47</v>
      </c>
      <c r="V169" s="4">
        <v>45622</v>
      </c>
      <c r="W169" t="s">
        <v>1648</v>
      </c>
      <c r="X169" t="s">
        <v>1650</v>
      </c>
      <c r="Y169" t="s">
        <v>35</v>
      </c>
      <c r="Z169" t="s">
        <v>49</v>
      </c>
      <c r="AA169" t="s">
        <v>50</v>
      </c>
      <c r="AB169" s="4">
        <v>45651</v>
      </c>
      <c r="AC169" t="s">
        <v>1652</v>
      </c>
      <c r="AD169" t="s">
        <v>1653</v>
      </c>
      <c r="AE169" t="s">
        <v>52</v>
      </c>
    </row>
    <row r="170" spans="1:31" x14ac:dyDescent="0.3">
      <c r="A170" t="s">
        <v>867</v>
      </c>
      <c r="B170" s="4">
        <v>45609</v>
      </c>
      <c r="C170" t="s">
        <v>1646</v>
      </c>
      <c r="D170" t="s">
        <v>868</v>
      </c>
      <c r="E170" t="s">
        <v>26</v>
      </c>
      <c r="F170" t="s">
        <v>869</v>
      </c>
      <c r="G170" t="s">
        <v>67</v>
      </c>
      <c r="H170" t="s">
        <v>870</v>
      </c>
      <c r="I170">
        <v>6299</v>
      </c>
      <c r="J170">
        <v>1</v>
      </c>
      <c r="K170" t="s">
        <v>1647</v>
      </c>
      <c r="L170">
        <v>6299</v>
      </c>
      <c r="M170">
        <v>6299</v>
      </c>
      <c r="O170">
        <v>0</v>
      </c>
      <c r="P170">
        <v>0</v>
      </c>
      <c r="Q170" t="s">
        <v>60</v>
      </c>
      <c r="R170" t="s">
        <v>71</v>
      </c>
      <c r="S170" t="s">
        <v>101</v>
      </c>
      <c r="T170" t="s">
        <v>102</v>
      </c>
      <c r="U170" t="s">
        <v>47</v>
      </c>
      <c r="V170" s="4"/>
      <c r="W170" t="s">
        <v>1656</v>
      </c>
      <c r="X170" t="s">
        <v>1657</v>
      </c>
      <c r="Y170" t="s">
        <v>137</v>
      </c>
      <c r="Z170" t="s">
        <v>36</v>
      </c>
      <c r="AB170" s="4"/>
      <c r="AC170" t="s">
        <v>1656</v>
      </c>
      <c r="AD170" t="s">
        <v>1651</v>
      </c>
      <c r="AE170" t="s">
        <v>37</v>
      </c>
    </row>
    <row r="171" spans="1:31" x14ac:dyDescent="0.3">
      <c r="A171" t="s">
        <v>871</v>
      </c>
      <c r="B171" s="4">
        <v>45610</v>
      </c>
      <c r="C171" t="s">
        <v>1646</v>
      </c>
      <c r="D171" t="s">
        <v>872</v>
      </c>
      <c r="E171" t="s">
        <v>26</v>
      </c>
      <c r="F171" t="s">
        <v>873</v>
      </c>
      <c r="G171" t="s">
        <v>79</v>
      </c>
      <c r="H171" t="s">
        <v>874</v>
      </c>
      <c r="I171">
        <v>1599</v>
      </c>
      <c r="J171">
        <v>1</v>
      </c>
      <c r="K171" t="s">
        <v>1647</v>
      </c>
      <c r="L171">
        <v>1599</v>
      </c>
      <c r="M171">
        <v>1599</v>
      </c>
      <c r="O171">
        <v>0</v>
      </c>
      <c r="P171">
        <v>0</v>
      </c>
      <c r="Q171" t="s">
        <v>128</v>
      </c>
      <c r="R171" t="s">
        <v>31</v>
      </c>
      <c r="S171" t="s">
        <v>72</v>
      </c>
      <c r="T171" t="s">
        <v>73</v>
      </c>
      <c r="U171" t="s">
        <v>61</v>
      </c>
      <c r="V171" s="4">
        <v>45623</v>
      </c>
      <c r="W171" t="s">
        <v>1648</v>
      </c>
      <c r="X171" t="s">
        <v>1650</v>
      </c>
      <c r="Y171" t="s">
        <v>35</v>
      </c>
      <c r="Z171" t="s">
        <v>49</v>
      </c>
      <c r="AA171" t="s">
        <v>158</v>
      </c>
      <c r="AB171" s="4">
        <v>45652</v>
      </c>
      <c r="AC171" t="s">
        <v>1652</v>
      </c>
      <c r="AD171" t="s">
        <v>1653</v>
      </c>
      <c r="AE171" t="s">
        <v>52</v>
      </c>
    </row>
    <row r="172" spans="1:31" x14ac:dyDescent="0.3">
      <c r="A172" t="s">
        <v>875</v>
      </c>
      <c r="B172" s="4">
        <v>45610</v>
      </c>
      <c r="C172" t="s">
        <v>1646</v>
      </c>
      <c r="D172" t="s">
        <v>876</v>
      </c>
      <c r="E172" t="s">
        <v>26</v>
      </c>
      <c r="F172" t="s">
        <v>877</v>
      </c>
      <c r="G172" t="s">
        <v>28</v>
      </c>
      <c r="H172" t="s">
        <v>878</v>
      </c>
      <c r="I172">
        <v>1699</v>
      </c>
      <c r="J172">
        <v>1</v>
      </c>
      <c r="K172" t="s">
        <v>1647</v>
      </c>
      <c r="L172">
        <v>1699</v>
      </c>
      <c r="M172">
        <v>1699</v>
      </c>
      <c r="O172">
        <v>0</v>
      </c>
      <c r="P172">
        <v>0</v>
      </c>
      <c r="Q172" t="s">
        <v>30</v>
      </c>
      <c r="R172" t="s">
        <v>46</v>
      </c>
      <c r="S172" t="s">
        <v>86</v>
      </c>
      <c r="T172" t="s">
        <v>87</v>
      </c>
      <c r="U172" t="s">
        <v>61</v>
      </c>
      <c r="V172" s="4">
        <v>45624</v>
      </c>
      <c r="W172" t="s">
        <v>1648</v>
      </c>
      <c r="X172" t="s">
        <v>1650</v>
      </c>
      <c r="Y172" t="s">
        <v>35</v>
      </c>
      <c r="Z172" t="s">
        <v>36</v>
      </c>
      <c r="AB172" s="4"/>
      <c r="AC172" t="s">
        <v>1649</v>
      </c>
      <c r="AD172" t="s">
        <v>1651</v>
      </c>
      <c r="AE172" t="s">
        <v>37</v>
      </c>
    </row>
    <row r="173" spans="1:31" x14ac:dyDescent="0.3">
      <c r="A173" t="s">
        <v>879</v>
      </c>
      <c r="B173" s="4">
        <v>45610</v>
      </c>
      <c r="C173" t="s">
        <v>1646</v>
      </c>
      <c r="D173" t="s">
        <v>880</v>
      </c>
      <c r="E173" t="s">
        <v>26</v>
      </c>
      <c r="F173" t="s">
        <v>881</v>
      </c>
      <c r="G173" t="s">
        <v>42</v>
      </c>
      <c r="H173" t="s">
        <v>882</v>
      </c>
      <c r="I173">
        <v>3199</v>
      </c>
      <c r="J173">
        <v>1</v>
      </c>
      <c r="K173" t="s">
        <v>1647</v>
      </c>
      <c r="L173">
        <v>3199</v>
      </c>
      <c r="M173">
        <v>2719.15</v>
      </c>
      <c r="N173" t="s">
        <v>777</v>
      </c>
      <c r="O173">
        <v>15</v>
      </c>
      <c r="P173">
        <v>479.85</v>
      </c>
      <c r="Q173" t="s">
        <v>70</v>
      </c>
      <c r="R173" t="s">
        <v>71</v>
      </c>
      <c r="S173" t="s">
        <v>95</v>
      </c>
      <c r="T173" t="s">
        <v>33</v>
      </c>
      <c r="U173" t="s">
        <v>32</v>
      </c>
      <c r="V173" s="4">
        <v>45625</v>
      </c>
      <c r="W173" t="s">
        <v>1648</v>
      </c>
      <c r="X173" t="s">
        <v>1650</v>
      </c>
      <c r="Y173" t="s">
        <v>35</v>
      </c>
      <c r="Z173" t="s">
        <v>49</v>
      </c>
      <c r="AA173" t="s">
        <v>50</v>
      </c>
      <c r="AB173" s="4">
        <v>45654</v>
      </c>
      <c r="AC173" t="s">
        <v>1652</v>
      </c>
      <c r="AD173" t="s">
        <v>1653</v>
      </c>
      <c r="AE173" t="s">
        <v>52</v>
      </c>
    </row>
    <row r="174" spans="1:31" x14ac:dyDescent="0.3">
      <c r="A174" t="s">
        <v>885</v>
      </c>
      <c r="B174" s="4">
        <v>45611</v>
      </c>
      <c r="C174" t="s">
        <v>1646</v>
      </c>
      <c r="D174" t="s">
        <v>886</v>
      </c>
      <c r="E174" t="s">
        <v>40</v>
      </c>
      <c r="F174" t="s">
        <v>887</v>
      </c>
      <c r="G174" t="s">
        <v>58</v>
      </c>
      <c r="H174" t="s">
        <v>888</v>
      </c>
      <c r="I174">
        <v>2099</v>
      </c>
      <c r="J174">
        <v>1</v>
      </c>
      <c r="K174" t="s">
        <v>1647</v>
      </c>
      <c r="L174">
        <v>2099</v>
      </c>
      <c r="M174">
        <v>2099</v>
      </c>
      <c r="O174">
        <v>0</v>
      </c>
      <c r="P174">
        <v>0</v>
      </c>
      <c r="Q174" t="s">
        <v>45</v>
      </c>
      <c r="R174" t="s">
        <v>31</v>
      </c>
      <c r="S174" t="s">
        <v>108</v>
      </c>
      <c r="T174" t="s">
        <v>109</v>
      </c>
      <c r="U174" t="s">
        <v>32</v>
      </c>
      <c r="V174" s="4">
        <v>45624</v>
      </c>
      <c r="W174" t="s">
        <v>1648</v>
      </c>
      <c r="X174" t="s">
        <v>1650</v>
      </c>
      <c r="Y174" t="s">
        <v>35</v>
      </c>
      <c r="Z174" t="s">
        <v>36</v>
      </c>
      <c r="AB174" s="4"/>
      <c r="AC174" t="s">
        <v>1649</v>
      </c>
      <c r="AD174" t="s">
        <v>1651</v>
      </c>
      <c r="AE174" t="s">
        <v>37</v>
      </c>
    </row>
    <row r="175" spans="1:31" x14ac:dyDescent="0.3">
      <c r="A175" t="s">
        <v>889</v>
      </c>
      <c r="B175" s="4">
        <v>45611</v>
      </c>
      <c r="C175" t="s">
        <v>1646</v>
      </c>
      <c r="D175" t="s">
        <v>890</v>
      </c>
      <c r="E175" t="s">
        <v>26</v>
      </c>
      <c r="F175" t="s">
        <v>891</v>
      </c>
      <c r="G175" t="s">
        <v>67</v>
      </c>
      <c r="H175" t="s">
        <v>892</v>
      </c>
      <c r="I175">
        <v>6999</v>
      </c>
      <c r="J175">
        <v>1</v>
      </c>
      <c r="K175" t="s">
        <v>1647</v>
      </c>
      <c r="L175">
        <v>6999</v>
      </c>
      <c r="M175">
        <v>6999</v>
      </c>
      <c r="O175">
        <v>0</v>
      </c>
      <c r="P175">
        <v>0</v>
      </c>
      <c r="Q175" t="s">
        <v>30</v>
      </c>
      <c r="R175" t="s">
        <v>46</v>
      </c>
      <c r="S175" t="s">
        <v>116</v>
      </c>
      <c r="T175" t="s">
        <v>117</v>
      </c>
      <c r="U175" t="s">
        <v>47</v>
      </c>
      <c r="V175" s="4">
        <v>45626</v>
      </c>
      <c r="W175" t="s">
        <v>1648</v>
      </c>
      <c r="X175" t="s">
        <v>1650</v>
      </c>
      <c r="Y175" t="s">
        <v>35</v>
      </c>
      <c r="Z175" t="s">
        <v>49</v>
      </c>
      <c r="AA175" t="s">
        <v>119</v>
      </c>
      <c r="AB175" s="4">
        <v>45655</v>
      </c>
      <c r="AC175" t="s">
        <v>1652</v>
      </c>
      <c r="AD175" t="s">
        <v>1653</v>
      </c>
      <c r="AE175" t="s">
        <v>52</v>
      </c>
    </row>
    <row r="176" spans="1:31" x14ac:dyDescent="0.3">
      <c r="A176" t="s">
        <v>894</v>
      </c>
      <c r="B176" s="4">
        <v>45611</v>
      </c>
      <c r="C176" t="s">
        <v>1646</v>
      </c>
      <c r="D176" t="s">
        <v>895</v>
      </c>
      <c r="E176" t="s">
        <v>26</v>
      </c>
      <c r="F176" t="s">
        <v>896</v>
      </c>
      <c r="G176" t="s">
        <v>79</v>
      </c>
      <c r="H176" t="s">
        <v>897</v>
      </c>
      <c r="I176">
        <v>899</v>
      </c>
      <c r="J176">
        <v>1</v>
      </c>
      <c r="K176" t="s">
        <v>1647</v>
      </c>
      <c r="L176">
        <v>899</v>
      </c>
      <c r="M176">
        <v>899</v>
      </c>
      <c r="O176">
        <v>0</v>
      </c>
      <c r="P176">
        <v>0</v>
      </c>
      <c r="Q176" t="s">
        <v>60</v>
      </c>
      <c r="R176" t="s">
        <v>71</v>
      </c>
      <c r="S176" t="s">
        <v>129</v>
      </c>
      <c r="T176" t="s">
        <v>130</v>
      </c>
      <c r="U176" t="s">
        <v>47</v>
      </c>
      <c r="V176" s="4">
        <v>45624</v>
      </c>
      <c r="W176" t="s">
        <v>1648</v>
      </c>
      <c r="X176" t="s">
        <v>1650</v>
      </c>
      <c r="Y176" t="s">
        <v>35</v>
      </c>
      <c r="Z176" t="s">
        <v>49</v>
      </c>
      <c r="AA176" t="s">
        <v>89</v>
      </c>
      <c r="AB176" s="4">
        <v>45653</v>
      </c>
      <c r="AC176" t="s">
        <v>1652</v>
      </c>
      <c r="AD176" t="s">
        <v>1653</v>
      </c>
      <c r="AE176" t="s">
        <v>52</v>
      </c>
    </row>
    <row r="177" spans="1:31" x14ac:dyDescent="0.3">
      <c r="A177" t="s">
        <v>899</v>
      </c>
      <c r="B177" s="4">
        <v>45612</v>
      </c>
      <c r="C177" t="s">
        <v>1646</v>
      </c>
      <c r="D177" t="s">
        <v>900</v>
      </c>
      <c r="E177" t="s">
        <v>26</v>
      </c>
      <c r="F177" t="s">
        <v>901</v>
      </c>
      <c r="G177" t="s">
        <v>28</v>
      </c>
      <c r="H177" t="s">
        <v>902</v>
      </c>
      <c r="I177">
        <v>1499</v>
      </c>
      <c r="J177">
        <v>1</v>
      </c>
      <c r="K177" t="s">
        <v>1647</v>
      </c>
      <c r="L177">
        <v>1499</v>
      </c>
      <c r="M177">
        <v>1274.1500000000001</v>
      </c>
      <c r="N177" t="s">
        <v>777</v>
      </c>
      <c r="O177">
        <v>15</v>
      </c>
      <c r="P177">
        <v>224.85</v>
      </c>
      <c r="Q177" t="s">
        <v>128</v>
      </c>
      <c r="R177" t="s">
        <v>31</v>
      </c>
      <c r="S177" t="s">
        <v>61</v>
      </c>
      <c r="T177" t="s">
        <v>62</v>
      </c>
      <c r="U177" t="s">
        <v>61</v>
      </c>
      <c r="V177" s="4">
        <v>45625</v>
      </c>
      <c r="W177" t="s">
        <v>1648</v>
      </c>
      <c r="X177" t="s">
        <v>1650</v>
      </c>
      <c r="Y177" t="s">
        <v>35</v>
      </c>
      <c r="Z177" t="s">
        <v>36</v>
      </c>
      <c r="AB177" s="4"/>
      <c r="AC177" t="s">
        <v>1649</v>
      </c>
      <c r="AD177" t="s">
        <v>1651</v>
      </c>
      <c r="AE177" t="s">
        <v>37</v>
      </c>
    </row>
    <row r="178" spans="1:31" x14ac:dyDescent="0.3">
      <c r="A178" t="s">
        <v>903</v>
      </c>
      <c r="B178" s="4">
        <v>45612</v>
      </c>
      <c r="C178" t="s">
        <v>1646</v>
      </c>
      <c r="D178" t="s">
        <v>904</v>
      </c>
      <c r="E178" t="s">
        <v>26</v>
      </c>
      <c r="F178" t="s">
        <v>905</v>
      </c>
      <c r="G178" t="s">
        <v>42</v>
      </c>
      <c r="H178" t="s">
        <v>906</v>
      </c>
      <c r="I178">
        <v>2999</v>
      </c>
      <c r="J178">
        <v>1</v>
      </c>
      <c r="K178" t="s">
        <v>1647</v>
      </c>
      <c r="L178">
        <v>2999</v>
      </c>
      <c r="M178">
        <v>2999</v>
      </c>
      <c r="O178">
        <v>0</v>
      </c>
      <c r="P178">
        <v>0</v>
      </c>
      <c r="Q178" t="s">
        <v>70</v>
      </c>
      <c r="R178" t="s">
        <v>46</v>
      </c>
      <c r="S178" t="s">
        <v>32</v>
      </c>
      <c r="T178" t="s">
        <v>33</v>
      </c>
      <c r="U178" t="s">
        <v>32</v>
      </c>
      <c r="V178" s="4">
        <v>45627</v>
      </c>
      <c r="W178" t="s">
        <v>1648</v>
      </c>
      <c r="X178" t="s">
        <v>1650</v>
      </c>
      <c r="Y178" t="s">
        <v>35</v>
      </c>
      <c r="Z178" t="s">
        <v>49</v>
      </c>
      <c r="AA178" t="s">
        <v>75</v>
      </c>
      <c r="AB178" s="4">
        <v>45656</v>
      </c>
      <c r="AC178" t="s">
        <v>1652</v>
      </c>
      <c r="AD178" t="s">
        <v>1653</v>
      </c>
      <c r="AE178" t="s">
        <v>52</v>
      </c>
    </row>
    <row r="179" spans="1:31" x14ac:dyDescent="0.3">
      <c r="A179" t="s">
        <v>908</v>
      </c>
      <c r="B179" s="4">
        <v>45612</v>
      </c>
      <c r="C179" t="s">
        <v>1646</v>
      </c>
      <c r="D179" t="s">
        <v>909</v>
      </c>
      <c r="E179" t="s">
        <v>40</v>
      </c>
      <c r="F179" t="s">
        <v>910</v>
      </c>
      <c r="G179" t="s">
        <v>58</v>
      </c>
      <c r="H179" t="s">
        <v>911</v>
      </c>
      <c r="I179">
        <v>1899</v>
      </c>
      <c r="J179">
        <v>1</v>
      </c>
      <c r="K179" t="s">
        <v>1647</v>
      </c>
      <c r="L179">
        <v>1899</v>
      </c>
      <c r="M179">
        <v>1899</v>
      </c>
      <c r="O179">
        <v>0</v>
      </c>
      <c r="P179">
        <v>0</v>
      </c>
      <c r="Q179" t="s">
        <v>45</v>
      </c>
      <c r="R179" t="s">
        <v>71</v>
      </c>
      <c r="S179" t="s">
        <v>47</v>
      </c>
      <c r="T179" t="s">
        <v>47</v>
      </c>
      <c r="U179" t="s">
        <v>47</v>
      </c>
      <c r="V179" s="4">
        <v>45625</v>
      </c>
      <c r="W179" t="s">
        <v>1648</v>
      </c>
      <c r="X179" t="s">
        <v>1650</v>
      </c>
      <c r="Y179" t="s">
        <v>35</v>
      </c>
      <c r="Z179" t="s">
        <v>36</v>
      </c>
      <c r="AB179" s="4"/>
      <c r="AC179" t="s">
        <v>1649</v>
      </c>
      <c r="AD179" t="s">
        <v>1651</v>
      </c>
      <c r="AE179" t="s">
        <v>37</v>
      </c>
    </row>
    <row r="180" spans="1:31" x14ac:dyDescent="0.3">
      <c r="A180" t="s">
        <v>912</v>
      </c>
      <c r="B180" s="4">
        <v>45613</v>
      </c>
      <c r="C180" t="s">
        <v>1646</v>
      </c>
      <c r="D180" t="s">
        <v>913</v>
      </c>
      <c r="E180" t="s">
        <v>26</v>
      </c>
      <c r="F180" t="s">
        <v>914</v>
      </c>
      <c r="G180" t="s">
        <v>67</v>
      </c>
      <c r="H180" t="s">
        <v>915</v>
      </c>
      <c r="I180">
        <v>7499</v>
      </c>
      <c r="J180">
        <v>1</v>
      </c>
      <c r="K180" t="s">
        <v>1647</v>
      </c>
      <c r="L180">
        <v>7499</v>
      </c>
      <c r="M180">
        <v>7499</v>
      </c>
      <c r="O180">
        <v>0</v>
      </c>
      <c r="P180">
        <v>0</v>
      </c>
      <c r="Q180" t="s">
        <v>30</v>
      </c>
      <c r="R180" t="s">
        <v>31</v>
      </c>
      <c r="S180" t="s">
        <v>135</v>
      </c>
      <c r="T180" t="s">
        <v>136</v>
      </c>
      <c r="U180" t="s">
        <v>47</v>
      </c>
      <c r="V180" s="4">
        <v>45628</v>
      </c>
      <c r="W180" t="s">
        <v>1648</v>
      </c>
      <c r="X180" t="s">
        <v>1650</v>
      </c>
      <c r="Y180" t="s">
        <v>35</v>
      </c>
      <c r="Z180" t="s">
        <v>49</v>
      </c>
      <c r="AA180" t="s">
        <v>50</v>
      </c>
      <c r="AB180" s="4">
        <v>45657</v>
      </c>
      <c r="AC180" t="s">
        <v>1652</v>
      </c>
      <c r="AD180" t="s">
        <v>1653</v>
      </c>
      <c r="AE180" t="s">
        <v>52</v>
      </c>
    </row>
    <row r="181" spans="1:31" x14ac:dyDescent="0.3">
      <c r="A181" t="s">
        <v>917</v>
      </c>
      <c r="B181" s="4">
        <v>45613</v>
      </c>
      <c r="C181" t="s">
        <v>1646</v>
      </c>
      <c r="D181" t="s">
        <v>918</v>
      </c>
      <c r="E181" t="s">
        <v>26</v>
      </c>
      <c r="F181" t="s">
        <v>919</v>
      </c>
      <c r="G181" t="s">
        <v>79</v>
      </c>
      <c r="H181" t="s">
        <v>920</v>
      </c>
      <c r="I181">
        <v>1299</v>
      </c>
      <c r="J181">
        <v>1</v>
      </c>
      <c r="K181" t="s">
        <v>1647</v>
      </c>
      <c r="L181">
        <v>1299</v>
      </c>
      <c r="M181">
        <v>1104.1500000000001</v>
      </c>
      <c r="N181" t="s">
        <v>777</v>
      </c>
      <c r="O181">
        <v>15</v>
      </c>
      <c r="P181">
        <v>194.85</v>
      </c>
      <c r="Q181" t="s">
        <v>60</v>
      </c>
      <c r="R181" t="s">
        <v>46</v>
      </c>
      <c r="S181" t="s">
        <v>156</v>
      </c>
      <c r="T181" t="s">
        <v>130</v>
      </c>
      <c r="U181" t="s">
        <v>47</v>
      </c>
      <c r="V181" s="4">
        <v>45626</v>
      </c>
      <c r="W181" t="s">
        <v>1648</v>
      </c>
      <c r="X181" t="s">
        <v>1650</v>
      </c>
      <c r="Y181" t="s">
        <v>35</v>
      </c>
      <c r="Z181" t="s">
        <v>36</v>
      </c>
      <c r="AB181" s="4"/>
      <c r="AC181" t="s">
        <v>1649</v>
      </c>
      <c r="AD181" t="s">
        <v>1651</v>
      </c>
      <c r="AE181" t="s">
        <v>37</v>
      </c>
    </row>
    <row r="182" spans="1:31" x14ac:dyDescent="0.3">
      <c r="A182" t="s">
        <v>921</v>
      </c>
      <c r="B182" s="4">
        <v>45613</v>
      </c>
      <c r="C182" t="s">
        <v>1646</v>
      </c>
      <c r="D182" t="s">
        <v>922</v>
      </c>
      <c r="E182" t="s">
        <v>26</v>
      </c>
      <c r="F182" t="s">
        <v>923</v>
      </c>
      <c r="G182" t="s">
        <v>28</v>
      </c>
      <c r="H182" t="s">
        <v>924</v>
      </c>
      <c r="I182">
        <v>1599</v>
      </c>
      <c r="J182">
        <v>1</v>
      </c>
      <c r="K182" t="s">
        <v>1647</v>
      </c>
      <c r="L182">
        <v>1599</v>
      </c>
      <c r="M182">
        <v>1599</v>
      </c>
      <c r="O182">
        <v>0</v>
      </c>
      <c r="P182">
        <v>0</v>
      </c>
      <c r="Q182" t="s">
        <v>45</v>
      </c>
      <c r="R182" t="s">
        <v>71</v>
      </c>
      <c r="S182" t="s">
        <v>164</v>
      </c>
      <c r="T182" t="s">
        <v>165</v>
      </c>
      <c r="U182" t="s">
        <v>47</v>
      </c>
      <c r="V182" s="4">
        <v>45627</v>
      </c>
      <c r="W182" t="s">
        <v>1648</v>
      </c>
      <c r="X182" t="s">
        <v>1650</v>
      </c>
      <c r="Y182" t="s">
        <v>35</v>
      </c>
      <c r="Z182" t="s">
        <v>49</v>
      </c>
      <c r="AA182" t="s">
        <v>158</v>
      </c>
      <c r="AB182" s="4">
        <v>45655</v>
      </c>
      <c r="AC182" t="s">
        <v>1652</v>
      </c>
      <c r="AD182" t="s">
        <v>1653</v>
      </c>
      <c r="AE182" t="s">
        <v>52</v>
      </c>
    </row>
    <row r="183" spans="1:31" x14ac:dyDescent="0.3">
      <c r="A183" t="s">
        <v>925</v>
      </c>
      <c r="B183" s="4">
        <v>45614</v>
      </c>
      <c r="C183" t="s">
        <v>1646</v>
      </c>
      <c r="D183" t="s">
        <v>926</v>
      </c>
      <c r="E183" t="s">
        <v>26</v>
      </c>
      <c r="F183" t="s">
        <v>927</v>
      </c>
      <c r="G183" t="s">
        <v>42</v>
      </c>
      <c r="H183" t="s">
        <v>928</v>
      </c>
      <c r="I183">
        <v>3799</v>
      </c>
      <c r="J183">
        <v>1</v>
      </c>
      <c r="K183" t="s">
        <v>1647</v>
      </c>
      <c r="L183">
        <v>3799</v>
      </c>
      <c r="M183">
        <v>3799</v>
      </c>
      <c r="O183">
        <v>0</v>
      </c>
      <c r="P183">
        <v>0</v>
      </c>
      <c r="Q183" t="s">
        <v>128</v>
      </c>
      <c r="R183" t="s">
        <v>31</v>
      </c>
      <c r="S183" t="s">
        <v>171</v>
      </c>
      <c r="T183" t="s">
        <v>172</v>
      </c>
      <c r="U183" t="s">
        <v>32</v>
      </c>
      <c r="V183" s="4">
        <v>45629</v>
      </c>
      <c r="W183" t="s">
        <v>1648</v>
      </c>
      <c r="X183" t="s">
        <v>1650</v>
      </c>
      <c r="Y183" t="s">
        <v>35</v>
      </c>
      <c r="Z183" t="s">
        <v>36</v>
      </c>
      <c r="AB183" s="4"/>
      <c r="AC183" t="s">
        <v>1649</v>
      </c>
      <c r="AD183" t="s">
        <v>1651</v>
      </c>
      <c r="AE183" t="s">
        <v>37</v>
      </c>
    </row>
    <row r="184" spans="1:31" x14ac:dyDescent="0.3">
      <c r="A184" t="s">
        <v>929</v>
      </c>
      <c r="B184" s="4">
        <v>45614</v>
      </c>
      <c r="C184" t="s">
        <v>1646</v>
      </c>
      <c r="D184" t="s">
        <v>930</v>
      </c>
      <c r="E184" t="s">
        <v>40</v>
      </c>
      <c r="F184" t="s">
        <v>931</v>
      </c>
      <c r="G184" t="s">
        <v>58</v>
      </c>
      <c r="H184" t="s">
        <v>932</v>
      </c>
      <c r="I184">
        <v>2299</v>
      </c>
      <c r="J184">
        <v>1</v>
      </c>
      <c r="K184" t="s">
        <v>1647</v>
      </c>
      <c r="L184">
        <v>2299</v>
      </c>
      <c r="M184">
        <v>2299</v>
      </c>
      <c r="O184">
        <v>0</v>
      </c>
      <c r="P184">
        <v>0</v>
      </c>
      <c r="Q184" t="s">
        <v>30</v>
      </c>
      <c r="R184" t="s">
        <v>46</v>
      </c>
      <c r="S184" t="s">
        <v>177</v>
      </c>
      <c r="T184" t="s">
        <v>109</v>
      </c>
      <c r="U184" t="s">
        <v>32</v>
      </c>
      <c r="V184" s="4">
        <v>45627</v>
      </c>
      <c r="W184" t="s">
        <v>1648</v>
      </c>
      <c r="X184" t="s">
        <v>1650</v>
      </c>
      <c r="Y184" t="s">
        <v>35</v>
      </c>
      <c r="Z184" t="s">
        <v>49</v>
      </c>
      <c r="AA184" t="s">
        <v>50</v>
      </c>
      <c r="AB184" s="4">
        <v>45656</v>
      </c>
      <c r="AC184" t="s">
        <v>1652</v>
      </c>
      <c r="AD184" t="s">
        <v>1653</v>
      </c>
      <c r="AE184" t="s">
        <v>52</v>
      </c>
    </row>
    <row r="185" spans="1:31" x14ac:dyDescent="0.3">
      <c r="A185" t="s">
        <v>933</v>
      </c>
      <c r="B185" s="4">
        <v>45614</v>
      </c>
      <c r="C185" t="s">
        <v>1646</v>
      </c>
      <c r="D185" t="s">
        <v>934</v>
      </c>
      <c r="E185" t="s">
        <v>26</v>
      </c>
      <c r="F185" t="s">
        <v>935</v>
      </c>
      <c r="G185" t="s">
        <v>67</v>
      </c>
      <c r="H185" t="s">
        <v>936</v>
      </c>
      <c r="I185">
        <v>5999</v>
      </c>
      <c r="J185">
        <v>1</v>
      </c>
      <c r="K185" t="s">
        <v>1647</v>
      </c>
      <c r="L185">
        <v>5999</v>
      </c>
      <c r="M185">
        <v>5099.1499999999996</v>
      </c>
      <c r="N185" t="s">
        <v>777</v>
      </c>
      <c r="O185">
        <v>15</v>
      </c>
      <c r="P185">
        <v>899.85</v>
      </c>
      <c r="Q185" t="s">
        <v>70</v>
      </c>
      <c r="R185" t="s">
        <v>71</v>
      </c>
      <c r="S185" t="s">
        <v>184</v>
      </c>
      <c r="T185" t="s">
        <v>185</v>
      </c>
      <c r="U185" t="s">
        <v>47</v>
      </c>
      <c r="V185" s="4">
        <v>45630</v>
      </c>
      <c r="W185" t="s">
        <v>1648</v>
      </c>
      <c r="X185" t="s">
        <v>1650</v>
      </c>
      <c r="Y185" t="s">
        <v>35</v>
      </c>
      <c r="Z185" t="s">
        <v>49</v>
      </c>
      <c r="AA185" t="s">
        <v>119</v>
      </c>
      <c r="AB185" s="4">
        <v>45659</v>
      </c>
      <c r="AC185" t="s">
        <v>1652</v>
      </c>
      <c r="AD185" t="s">
        <v>1653</v>
      </c>
      <c r="AE185" t="s">
        <v>52</v>
      </c>
    </row>
    <row r="186" spans="1:31" x14ac:dyDescent="0.3">
      <c r="A186" t="s">
        <v>938</v>
      </c>
      <c r="B186" s="4">
        <v>45615</v>
      </c>
      <c r="C186" t="s">
        <v>1646</v>
      </c>
      <c r="D186" t="s">
        <v>939</v>
      </c>
      <c r="E186" t="s">
        <v>26</v>
      </c>
      <c r="F186" t="s">
        <v>940</v>
      </c>
      <c r="G186" t="s">
        <v>79</v>
      </c>
      <c r="H186" t="s">
        <v>941</v>
      </c>
      <c r="I186">
        <v>499</v>
      </c>
      <c r="J186">
        <v>2</v>
      </c>
      <c r="K186" t="s">
        <v>1647</v>
      </c>
      <c r="L186">
        <v>998</v>
      </c>
      <c r="M186">
        <v>998</v>
      </c>
      <c r="O186">
        <v>0</v>
      </c>
      <c r="P186">
        <v>0</v>
      </c>
      <c r="Q186" t="s">
        <v>45</v>
      </c>
      <c r="R186" t="s">
        <v>31</v>
      </c>
      <c r="S186" t="s">
        <v>190</v>
      </c>
      <c r="T186" t="s">
        <v>172</v>
      </c>
      <c r="U186" t="s">
        <v>32</v>
      </c>
      <c r="V186" s="4">
        <v>45628</v>
      </c>
      <c r="W186" t="s">
        <v>1648</v>
      </c>
      <c r="X186" t="s">
        <v>1650</v>
      </c>
      <c r="Y186" t="s">
        <v>35</v>
      </c>
      <c r="Z186" t="s">
        <v>36</v>
      </c>
      <c r="AB186" s="4"/>
      <c r="AC186" t="s">
        <v>1649</v>
      </c>
      <c r="AD186" t="s">
        <v>1651</v>
      </c>
      <c r="AE186" t="s">
        <v>37</v>
      </c>
    </row>
    <row r="187" spans="1:31" x14ac:dyDescent="0.3">
      <c r="A187" t="s">
        <v>942</v>
      </c>
      <c r="B187" s="4">
        <v>45615</v>
      </c>
      <c r="C187" t="s">
        <v>1646</v>
      </c>
      <c r="D187" t="s">
        <v>943</v>
      </c>
      <c r="E187" t="s">
        <v>26</v>
      </c>
      <c r="F187" t="s">
        <v>944</v>
      </c>
      <c r="G187" t="s">
        <v>28</v>
      </c>
      <c r="H187" t="s">
        <v>945</v>
      </c>
      <c r="I187">
        <v>1799</v>
      </c>
      <c r="J187">
        <v>1</v>
      </c>
      <c r="K187" t="s">
        <v>1647</v>
      </c>
      <c r="L187">
        <v>1799</v>
      </c>
      <c r="M187">
        <v>1799</v>
      </c>
      <c r="O187">
        <v>0</v>
      </c>
      <c r="P187">
        <v>0</v>
      </c>
      <c r="Q187" t="s">
        <v>60</v>
      </c>
      <c r="R187" t="s">
        <v>46</v>
      </c>
      <c r="S187" t="s">
        <v>195</v>
      </c>
      <c r="T187" t="s">
        <v>33</v>
      </c>
      <c r="U187" t="s">
        <v>32</v>
      </c>
      <c r="V187" s="4"/>
      <c r="W187" t="s">
        <v>1656</v>
      </c>
      <c r="X187" t="s">
        <v>1657</v>
      </c>
      <c r="Y187" t="s">
        <v>137</v>
      </c>
      <c r="Z187" t="s">
        <v>36</v>
      </c>
      <c r="AB187" s="4"/>
      <c r="AC187" t="s">
        <v>1656</v>
      </c>
      <c r="AD187" t="s">
        <v>1651</v>
      </c>
      <c r="AE187" t="s">
        <v>37</v>
      </c>
    </row>
    <row r="188" spans="1:31" x14ac:dyDescent="0.3">
      <c r="A188" t="s">
        <v>946</v>
      </c>
      <c r="B188" s="4">
        <v>45615</v>
      </c>
      <c r="C188" t="s">
        <v>1646</v>
      </c>
      <c r="D188" t="s">
        <v>947</v>
      </c>
      <c r="E188" t="s">
        <v>26</v>
      </c>
      <c r="F188" t="s">
        <v>948</v>
      </c>
      <c r="G188" t="s">
        <v>42</v>
      </c>
      <c r="H188" t="s">
        <v>949</v>
      </c>
      <c r="I188">
        <v>2999</v>
      </c>
      <c r="J188">
        <v>1</v>
      </c>
      <c r="K188" t="s">
        <v>1647</v>
      </c>
      <c r="L188">
        <v>2999</v>
      </c>
      <c r="M188">
        <v>2999</v>
      </c>
      <c r="O188">
        <v>0</v>
      </c>
      <c r="P188">
        <v>0</v>
      </c>
      <c r="Q188" t="s">
        <v>30</v>
      </c>
      <c r="R188" t="s">
        <v>71</v>
      </c>
      <c r="S188" t="s">
        <v>202</v>
      </c>
      <c r="T188" t="s">
        <v>73</v>
      </c>
      <c r="U188" t="s">
        <v>61</v>
      </c>
      <c r="V188" s="4">
        <v>45631</v>
      </c>
      <c r="W188" t="s">
        <v>1648</v>
      </c>
      <c r="X188" t="s">
        <v>1650</v>
      </c>
      <c r="Y188" t="s">
        <v>35</v>
      </c>
      <c r="Z188" t="s">
        <v>49</v>
      </c>
      <c r="AA188" t="s">
        <v>89</v>
      </c>
      <c r="AB188" s="4">
        <v>45660</v>
      </c>
      <c r="AC188" t="s">
        <v>1652</v>
      </c>
      <c r="AD188" t="s">
        <v>1653</v>
      </c>
      <c r="AE188" t="s">
        <v>52</v>
      </c>
    </row>
    <row r="189" spans="1:31" x14ac:dyDescent="0.3">
      <c r="A189" t="s">
        <v>951</v>
      </c>
      <c r="B189" s="4">
        <v>45616</v>
      </c>
      <c r="C189" t="s">
        <v>1646</v>
      </c>
      <c r="D189" t="s">
        <v>952</v>
      </c>
      <c r="E189" t="s">
        <v>40</v>
      </c>
      <c r="F189" t="s">
        <v>953</v>
      </c>
      <c r="G189" t="s">
        <v>58</v>
      </c>
      <c r="H189" t="s">
        <v>954</v>
      </c>
      <c r="I189">
        <v>2199</v>
      </c>
      <c r="J189">
        <v>1</v>
      </c>
      <c r="K189" t="s">
        <v>1647</v>
      </c>
      <c r="L189">
        <v>2199</v>
      </c>
      <c r="M189">
        <v>1869.15</v>
      </c>
      <c r="N189" t="s">
        <v>777</v>
      </c>
      <c r="O189">
        <v>15</v>
      </c>
      <c r="P189">
        <v>329.85</v>
      </c>
      <c r="Q189" t="s">
        <v>128</v>
      </c>
      <c r="R189" t="s">
        <v>31</v>
      </c>
      <c r="S189" t="s">
        <v>208</v>
      </c>
      <c r="T189" t="s">
        <v>209</v>
      </c>
      <c r="U189" t="s">
        <v>61</v>
      </c>
      <c r="V189" s="4">
        <v>45629</v>
      </c>
      <c r="W189" t="s">
        <v>1648</v>
      </c>
      <c r="X189" t="s">
        <v>1650</v>
      </c>
      <c r="Y189" t="s">
        <v>35</v>
      </c>
      <c r="Z189" t="s">
        <v>36</v>
      </c>
      <c r="AB189" s="4"/>
      <c r="AC189" t="s">
        <v>1649</v>
      </c>
      <c r="AD189" t="s">
        <v>1651</v>
      </c>
      <c r="AE189" t="s">
        <v>37</v>
      </c>
    </row>
    <row r="190" spans="1:31" x14ac:dyDescent="0.3">
      <c r="A190" t="s">
        <v>955</v>
      </c>
      <c r="B190" s="4">
        <v>45616</v>
      </c>
      <c r="C190" t="s">
        <v>1646</v>
      </c>
      <c r="D190" t="s">
        <v>956</v>
      </c>
      <c r="E190" t="s">
        <v>26</v>
      </c>
      <c r="F190" t="s">
        <v>957</v>
      </c>
      <c r="G190" t="s">
        <v>67</v>
      </c>
      <c r="H190" t="s">
        <v>958</v>
      </c>
      <c r="I190">
        <v>4899</v>
      </c>
      <c r="J190">
        <v>1</v>
      </c>
      <c r="K190" t="s">
        <v>1647</v>
      </c>
      <c r="L190">
        <v>4899</v>
      </c>
      <c r="M190">
        <v>4899</v>
      </c>
      <c r="O190">
        <v>0</v>
      </c>
      <c r="P190">
        <v>0</v>
      </c>
      <c r="Q190" t="s">
        <v>70</v>
      </c>
      <c r="R190" t="s">
        <v>46</v>
      </c>
      <c r="S190" t="s">
        <v>215</v>
      </c>
      <c r="T190" t="s">
        <v>216</v>
      </c>
      <c r="U190" t="s">
        <v>61</v>
      </c>
      <c r="V190" s="4">
        <v>45632</v>
      </c>
      <c r="W190" t="s">
        <v>1648</v>
      </c>
      <c r="X190" t="s">
        <v>1650</v>
      </c>
      <c r="Y190" t="s">
        <v>35</v>
      </c>
      <c r="Z190" t="s">
        <v>49</v>
      </c>
      <c r="AA190" t="s">
        <v>75</v>
      </c>
      <c r="AB190" s="4">
        <v>45661</v>
      </c>
      <c r="AC190" t="s">
        <v>1652</v>
      </c>
      <c r="AD190" t="s">
        <v>1653</v>
      </c>
      <c r="AE190" t="s">
        <v>52</v>
      </c>
    </row>
    <row r="191" spans="1:31" x14ac:dyDescent="0.3">
      <c r="A191" t="s">
        <v>960</v>
      </c>
      <c r="B191" s="4">
        <v>45616</v>
      </c>
      <c r="C191" t="s">
        <v>1646</v>
      </c>
      <c r="D191" t="s">
        <v>961</v>
      </c>
      <c r="E191" t="s">
        <v>26</v>
      </c>
      <c r="F191" t="s">
        <v>962</v>
      </c>
      <c r="G191" t="s">
        <v>79</v>
      </c>
      <c r="H191" t="s">
        <v>963</v>
      </c>
      <c r="I191">
        <v>799</v>
      </c>
      <c r="J191">
        <v>1</v>
      </c>
      <c r="K191" t="s">
        <v>1647</v>
      </c>
      <c r="L191">
        <v>799</v>
      </c>
      <c r="M191">
        <v>799</v>
      </c>
      <c r="O191">
        <v>0</v>
      </c>
      <c r="P191">
        <v>0</v>
      </c>
      <c r="Q191" t="s">
        <v>45</v>
      </c>
      <c r="R191" t="s">
        <v>71</v>
      </c>
      <c r="S191" t="s">
        <v>221</v>
      </c>
      <c r="T191" t="s">
        <v>209</v>
      </c>
      <c r="U191" t="s">
        <v>61</v>
      </c>
      <c r="V191" s="4">
        <v>45630</v>
      </c>
      <c r="W191" t="s">
        <v>1648</v>
      </c>
      <c r="X191" t="s">
        <v>1650</v>
      </c>
      <c r="Y191" t="s">
        <v>35</v>
      </c>
      <c r="Z191" t="s">
        <v>36</v>
      </c>
      <c r="AB191" s="4"/>
      <c r="AC191" t="s">
        <v>1649</v>
      </c>
      <c r="AD191" t="s">
        <v>1651</v>
      </c>
      <c r="AE191" t="s">
        <v>37</v>
      </c>
    </row>
    <row r="192" spans="1:31" x14ac:dyDescent="0.3">
      <c r="A192" t="s">
        <v>964</v>
      </c>
      <c r="B192" s="4">
        <v>45617</v>
      </c>
      <c r="C192" t="s">
        <v>1646</v>
      </c>
      <c r="D192" t="s">
        <v>965</v>
      </c>
      <c r="E192" t="s">
        <v>26</v>
      </c>
      <c r="F192" t="s">
        <v>966</v>
      </c>
      <c r="G192" t="s">
        <v>28</v>
      </c>
      <c r="H192" t="s">
        <v>967</v>
      </c>
      <c r="I192">
        <v>1999</v>
      </c>
      <c r="J192">
        <v>1</v>
      </c>
      <c r="K192" t="s">
        <v>1647</v>
      </c>
      <c r="L192">
        <v>1999</v>
      </c>
      <c r="M192">
        <v>1999</v>
      </c>
      <c r="O192">
        <v>0</v>
      </c>
      <c r="P192">
        <v>0</v>
      </c>
      <c r="Q192" t="s">
        <v>30</v>
      </c>
      <c r="R192" t="s">
        <v>31</v>
      </c>
      <c r="S192" t="s">
        <v>226</v>
      </c>
      <c r="T192" t="s">
        <v>62</v>
      </c>
      <c r="U192" t="s">
        <v>61</v>
      </c>
      <c r="V192" s="4">
        <v>45631</v>
      </c>
      <c r="W192" t="s">
        <v>1648</v>
      </c>
      <c r="X192" t="s">
        <v>1650</v>
      </c>
      <c r="Y192" t="s">
        <v>35</v>
      </c>
      <c r="Z192" t="s">
        <v>49</v>
      </c>
      <c r="AA192" t="s">
        <v>50</v>
      </c>
      <c r="AB192" s="4">
        <v>45660</v>
      </c>
      <c r="AC192" t="s">
        <v>1652</v>
      </c>
      <c r="AD192" t="s">
        <v>1653</v>
      </c>
      <c r="AE192" t="s">
        <v>52</v>
      </c>
    </row>
    <row r="193" spans="1:31" x14ac:dyDescent="0.3">
      <c r="A193" t="s">
        <v>968</v>
      </c>
      <c r="B193" s="4">
        <v>45617</v>
      </c>
      <c r="C193" t="s">
        <v>1646</v>
      </c>
      <c r="D193" t="s">
        <v>969</v>
      </c>
      <c r="E193" t="s">
        <v>26</v>
      </c>
      <c r="F193" t="s">
        <v>970</v>
      </c>
      <c r="G193" t="s">
        <v>42</v>
      </c>
      <c r="H193" t="s">
        <v>971</v>
      </c>
      <c r="I193">
        <v>3499</v>
      </c>
      <c r="J193">
        <v>1</v>
      </c>
      <c r="K193" t="s">
        <v>1647</v>
      </c>
      <c r="L193">
        <v>3499</v>
      </c>
      <c r="M193">
        <v>2974.15</v>
      </c>
      <c r="N193" t="s">
        <v>777</v>
      </c>
      <c r="O193">
        <v>15</v>
      </c>
      <c r="P193">
        <v>524.85</v>
      </c>
      <c r="Q193" t="s">
        <v>60</v>
      </c>
      <c r="R193" t="s">
        <v>46</v>
      </c>
      <c r="S193" t="s">
        <v>233</v>
      </c>
      <c r="T193" t="s">
        <v>109</v>
      </c>
      <c r="U193" t="s">
        <v>32</v>
      </c>
      <c r="V193" s="4">
        <v>45633</v>
      </c>
      <c r="W193" t="s">
        <v>1648</v>
      </c>
      <c r="X193" t="s">
        <v>1650</v>
      </c>
      <c r="Y193" t="s">
        <v>35</v>
      </c>
      <c r="Z193" t="s">
        <v>49</v>
      </c>
      <c r="AA193" t="s">
        <v>119</v>
      </c>
      <c r="AB193" s="4">
        <v>45662</v>
      </c>
      <c r="AC193" t="s">
        <v>1652</v>
      </c>
      <c r="AD193" t="s">
        <v>1653</v>
      </c>
      <c r="AE193" t="s">
        <v>52</v>
      </c>
    </row>
    <row r="194" spans="1:31" x14ac:dyDescent="0.3">
      <c r="A194" t="s">
        <v>973</v>
      </c>
      <c r="B194" s="4">
        <v>45617</v>
      </c>
      <c r="C194" t="s">
        <v>1646</v>
      </c>
      <c r="D194" t="s">
        <v>974</v>
      </c>
      <c r="E194" t="s">
        <v>40</v>
      </c>
      <c r="F194" t="s">
        <v>975</v>
      </c>
      <c r="G194" t="s">
        <v>58</v>
      </c>
      <c r="H194" t="s">
        <v>976</v>
      </c>
      <c r="I194">
        <v>2599</v>
      </c>
      <c r="J194">
        <v>1</v>
      </c>
      <c r="K194" t="s">
        <v>1647</v>
      </c>
      <c r="L194">
        <v>2599</v>
      </c>
      <c r="M194">
        <v>2599</v>
      </c>
      <c r="O194">
        <v>0</v>
      </c>
      <c r="P194">
        <v>0</v>
      </c>
      <c r="Q194" t="s">
        <v>45</v>
      </c>
      <c r="R194" t="s">
        <v>71</v>
      </c>
      <c r="S194" t="s">
        <v>238</v>
      </c>
      <c r="T194" t="s">
        <v>109</v>
      </c>
      <c r="U194" t="s">
        <v>32</v>
      </c>
      <c r="V194" s="4">
        <v>45631</v>
      </c>
      <c r="W194" t="s">
        <v>1648</v>
      </c>
      <c r="X194" t="s">
        <v>1650</v>
      </c>
      <c r="Y194" t="s">
        <v>35</v>
      </c>
      <c r="Z194" t="s">
        <v>36</v>
      </c>
      <c r="AB194" s="4"/>
      <c r="AC194" t="s">
        <v>1649</v>
      </c>
      <c r="AD194" t="s">
        <v>1651</v>
      </c>
      <c r="AE194" t="s">
        <v>37</v>
      </c>
    </row>
    <row r="195" spans="1:31" x14ac:dyDescent="0.3">
      <c r="A195" t="s">
        <v>977</v>
      </c>
      <c r="B195" s="4">
        <v>45618</v>
      </c>
      <c r="C195" t="s">
        <v>1646</v>
      </c>
      <c r="D195" t="s">
        <v>978</v>
      </c>
      <c r="E195" t="s">
        <v>26</v>
      </c>
      <c r="F195" t="s">
        <v>979</v>
      </c>
      <c r="G195" t="s">
        <v>67</v>
      </c>
      <c r="H195" t="s">
        <v>980</v>
      </c>
      <c r="I195">
        <v>5499</v>
      </c>
      <c r="J195">
        <v>1</v>
      </c>
      <c r="K195" t="s">
        <v>1647</v>
      </c>
      <c r="L195">
        <v>5499</v>
      </c>
      <c r="M195">
        <v>5499</v>
      </c>
      <c r="O195">
        <v>0</v>
      </c>
      <c r="P195">
        <v>0</v>
      </c>
      <c r="Q195" t="s">
        <v>128</v>
      </c>
      <c r="R195" t="s">
        <v>31</v>
      </c>
      <c r="S195" t="s">
        <v>243</v>
      </c>
      <c r="T195" t="s">
        <v>130</v>
      </c>
      <c r="U195" t="s">
        <v>47</v>
      </c>
      <c r="V195" s="4">
        <v>45634</v>
      </c>
      <c r="W195" t="s">
        <v>1648</v>
      </c>
      <c r="X195" t="s">
        <v>1650</v>
      </c>
      <c r="Y195" t="s">
        <v>35</v>
      </c>
      <c r="Z195" t="s">
        <v>49</v>
      </c>
      <c r="AA195" t="s">
        <v>89</v>
      </c>
      <c r="AB195" s="4">
        <v>45663</v>
      </c>
      <c r="AC195" t="s">
        <v>1652</v>
      </c>
      <c r="AD195" t="s">
        <v>1653</v>
      </c>
      <c r="AE195" t="s">
        <v>52</v>
      </c>
    </row>
    <row r="196" spans="1:31" x14ac:dyDescent="0.3">
      <c r="A196" t="s">
        <v>982</v>
      </c>
      <c r="B196" s="4">
        <v>45618</v>
      </c>
      <c r="C196" t="s">
        <v>1646</v>
      </c>
      <c r="D196" t="s">
        <v>983</v>
      </c>
      <c r="E196" t="s">
        <v>26</v>
      </c>
      <c r="F196" t="s">
        <v>984</v>
      </c>
      <c r="G196" t="s">
        <v>79</v>
      </c>
      <c r="H196" t="s">
        <v>985</v>
      </c>
      <c r="I196">
        <v>999</v>
      </c>
      <c r="J196">
        <v>1</v>
      </c>
      <c r="K196" t="s">
        <v>1647</v>
      </c>
      <c r="L196">
        <v>999</v>
      </c>
      <c r="M196">
        <v>999</v>
      </c>
      <c r="O196">
        <v>0</v>
      </c>
      <c r="P196">
        <v>0</v>
      </c>
      <c r="Q196" t="s">
        <v>70</v>
      </c>
      <c r="R196" t="s">
        <v>46</v>
      </c>
      <c r="S196" t="s">
        <v>32</v>
      </c>
      <c r="T196" t="s">
        <v>33</v>
      </c>
      <c r="U196" t="s">
        <v>32</v>
      </c>
      <c r="V196" s="4">
        <v>45632</v>
      </c>
      <c r="W196" t="s">
        <v>1648</v>
      </c>
      <c r="X196" t="s">
        <v>1650</v>
      </c>
      <c r="Y196" t="s">
        <v>35</v>
      </c>
      <c r="Z196" t="s">
        <v>36</v>
      </c>
      <c r="AB196" s="4"/>
      <c r="AC196" t="s">
        <v>1649</v>
      </c>
      <c r="AD196" t="s">
        <v>1651</v>
      </c>
      <c r="AE196" t="s">
        <v>37</v>
      </c>
    </row>
    <row r="197" spans="1:31" x14ac:dyDescent="0.3">
      <c r="A197" t="s">
        <v>986</v>
      </c>
      <c r="B197" s="4">
        <v>45618</v>
      </c>
      <c r="C197" t="s">
        <v>1646</v>
      </c>
      <c r="D197" t="s">
        <v>987</v>
      </c>
      <c r="E197" t="s">
        <v>26</v>
      </c>
      <c r="F197" t="s">
        <v>988</v>
      </c>
      <c r="G197" t="s">
        <v>28</v>
      </c>
      <c r="H197" t="s">
        <v>989</v>
      </c>
      <c r="I197">
        <v>1699</v>
      </c>
      <c r="J197">
        <v>1</v>
      </c>
      <c r="K197" t="s">
        <v>1647</v>
      </c>
      <c r="L197">
        <v>1699</v>
      </c>
      <c r="M197">
        <v>1444.15</v>
      </c>
      <c r="N197" t="s">
        <v>777</v>
      </c>
      <c r="O197">
        <v>15</v>
      </c>
      <c r="P197">
        <v>254.85</v>
      </c>
      <c r="Q197" t="s">
        <v>30</v>
      </c>
      <c r="R197" t="s">
        <v>71</v>
      </c>
      <c r="S197" t="s">
        <v>47</v>
      </c>
      <c r="T197" t="s">
        <v>47</v>
      </c>
      <c r="U197" t="s">
        <v>47</v>
      </c>
      <c r="V197" s="4">
        <v>45633</v>
      </c>
      <c r="W197" t="s">
        <v>1648</v>
      </c>
      <c r="X197" t="s">
        <v>1650</v>
      </c>
      <c r="Y197" t="s">
        <v>35</v>
      </c>
      <c r="Z197" t="s">
        <v>49</v>
      </c>
      <c r="AA197" t="s">
        <v>158</v>
      </c>
      <c r="AB197" s="4">
        <v>45662</v>
      </c>
      <c r="AC197" t="s">
        <v>1652</v>
      </c>
      <c r="AD197" t="s">
        <v>1653</v>
      </c>
      <c r="AE197" t="s">
        <v>52</v>
      </c>
    </row>
    <row r="198" spans="1:31" x14ac:dyDescent="0.3">
      <c r="A198" t="s">
        <v>990</v>
      </c>
      <c r="B198" s="4">
        <v>45619</v>
      </c>
      <c r="C198" t="s">
        <v>1646</v>
      </c>
      <c r="D198" t="s">
        <v>991</v>
      </c>
      <c r="E198" t="s">
        <v>26</v>
      </c>
      <c r="F198" t="s">
        <v>992</v>
      </c>
      <c r="G198" t="s">
        <v>42</v>
      </c>
      <c r="H198" t="s">
        <v>993</v>
      </c>
      <c r="I198">
        <v>2799</v>
      </c>
      <c r="J198">
        <v>1</v>
      </c>
      <c r="K198" t="s">
        <v>1647</v>
      </c>
      <c r="L198">
        <v>2799</v>
      </c>
      <c r="M198">
        <v>2799</v>
      </c>
      <c r="O198">
        <v>0</v>
      </c>
      <c r="P198">
        <v>0</v>
      </c>
      <c r="Q198" t="s">
        <v>45</v>
      </c>
      <c r="R198" t="s">
        <v>31</v>
      </c>
      <c r="S198" t="s">
        <v>101</v>
      </c>
      <c r="T198" t="s">
        <v>102</v>
      </c>
      <c r="U198" t="s">
        <v>47</v>
      </c>
      <c r="V198" s="4">
        <v>45635</v>
      </c>
      <c r="W198" t="s">
        <v>1648</v>
      </c>
      <c r="X198" t="s">
        <v>1650</v>
      </c>
      <c r="Y198" t="s">
        <v>35</v>
      </c>
      <c r="Z198" t="s">
        <v>36</v>
      </c>
      <c r="AB198" s="4"/>
      <c r="AC198" t="s">
        <v>1649</v>
      </c>
      <c r="AD198" t="s">
        <v>1651</v>
      </c>
      <c r="AE198" t="s">
        <v>37</v>
      </c>
    </row>
    <row r="199" spans="1:31" x14ac:dyDescent="0.3">
      <c r="A199" t="s">
        <v>995</v>
      </c>
      <c r="B199" s="4">
        <v>45619</v>
      </c>
      <c r="C199" t="s">
        <v>1646</v>
      </c>
      <c r="D199" t="s">
        <v>996</v>
      </c>
      <c r="E199" t="s">
        <v>40</v>
      </c>
      <c r="F199" t="s">
        <v>997</v>
      </c>
      <c r="G199" t="s">
        <v>58</v>
      </c>
      <c r="H199" t="s">
        <v>998</v>
      </c>
      <c r="I199">
        <v>2399</v>
      </c>
      <c r="J199">
        <v>1</v>
      </c>
      <c r="K199" t="s">
        <v>1647</v>
      </c>
      <c r="L199">
        <v>2399</v>
      </c>
      <c r="M199">
        <v>2399</v>
      </c>
      <c r="O199">
        <v>0</v>
      </c>
      <c r="P199">
        <v>0</v>
      </c>
      <c r="Q199" t="s">
        <v>60</v>
      </c>
      <c r="R199" t="s">
        <v>46</v>
      </c>
      <c r="S199" t="s">
        <v>72</v>
      </c>
      <c r="T199" t="s">
        <v>73</v>
      </c>
      <c r="U199" t="s">
        <v>61</v>
      </c>
      <c r="V199" s="4">
        <v>45633</v>
      </c>
      <c r="W199" t="s">
        <v>1648</v>
      </c>
      <c r="X199" t="s">
        <v>1650</v>
      </c>
      <c r="Y199" t="s">
        <v>35</v>
      </c>
      <c r="Z199" t="s">
        <v>49</v>
      </c>
      <c r="AA199" t="s">
        <v>75</v>
      </c>
      <c r="AB199" s="4">
        <v>45661</v>
      </c>
      <c r="AC199" t="s">
        <v>1652</v>
      </c>
      <c r="AD199" t="s">
        <v>1653</v>
      </c>
      <c r="AE199" t="s">
        <v>52</v>
      </c>
    </row>
    <row r="200" spans="1:31" x14ac:dyDescent="0.3">
      <c r="A200" t="s">
        <v>999</v>
      </c>
      <c r="B200" s="4">
        <v>45619</v>
      </c>
      <c r="C200" t="s">
        <v>1646</v>
      </c>
      <c r="D200" t="s">
        <v>1000</v>
      </c>
      <c r="E200" t="s">
        <v>26</v>
      </c>
      <c r="F200" t="s">
        <v>1001</v>
      </c>
      <c r="G200" t="s">
        <v>67</v>
      </c>
      <c r="H200" t="s">
        <v>1002</v>
      </c>
      <c r="I200">
        <v>6799</v>
      </c>
      <c r="J200">
        <v>1</v>
      </c>
      <c r="K200" t="s">
        <v>1647</v>
      </c>
      <c r="L200">
        <v>6799</v>
      </c>
      <c r="M200">
        <v>6799</v>
      </c>
      <c r="O200">
        <v>0</v>
      </c>
      <c r="P200">
        <v>0</v>
      </c>
      <c r="Q200" t="s">
        <v>30</v>
      </c>
      <c r="R200" t="s">
        <v>71</v>
      </c>
      <c r="S200" t="s">
        <v>86</v>
      </c>
      <c r="T200" t="s">
        <v>87</v>
      </c>
      <c r="U200" t="s">
        <v>61</v>
      </c>
      <c r="V200" s="4">
        <v>45636</v>
      </c>
      <c r="W200" t="s">
        <v>1648</v>
      </c>
      <c r="X200" t="s">
        <v>1650</v>
      </c>
      <c r="Y200" t="s">
        <v>35</v>
      </c>
      <c r="Z200" t="s">
        <v>49</v>
      </c>
      <c r="AA200" t="s">
        <v>50</v>
      </c>
      <c r="AB200" s="4">
        <v>45665</v>
      </c>
      <c r="AC200" t="s">
        <v>1652</v>
      </c>
      <c r="AD200" t="s">
        <v>1653</v>
      </c>
      <c r="AE200" t="s">
        <v>52</v>
      </c>
    </row>
    <row r="201" spans="1:31" x14ac:dyDescent="0.3">
      <c r="A201" t="s">
        <v>1004</v>
      </c>
      <c r="B201" s="4">
        <v>45620</v>
      </c>
      <c r="C201" t="s">
        <v>1646</v>
      </c>
      <c r="D201" t="s">
        <v>1005</v>
      </c>
      <c r="E201" t="s">
        <v>26</v>
      </c>
      <c r="F201" t="s">
        <v>1006</v>
      </c>
      <c r="G201" t="s">
        <v>79</v>
      </c>
      <c r="H201" t="s">
        <v>1007</v>
      </c>
      <c r="I201">
        <v>1499</v>
      </c>
      <c r="J201">
        <v>1</v>
      </c>
      <c r="K201" t="s">
        <v>1647</v>
      </c>
      <c r="L201">
        <v>1499</v>
      </c>
      <c r="M201">
        <v>1274.1500000000001</v>
      </c>
      <c r="N201" t="s">
        <v>777</v>
      </c>
      <c r="O201">
        <v>15</v>
      </c>
      <c r="P201">
        <v>224.85</v>
      </c>
      <c r="Q201" t="s">
        <v>128</v>
      </c>
      <c r="R201" t="s">
        <v>31</v>
      </c>
      <c r="S201" t="s">
        <v>95</v>
      </c>
      <c r="T201" t="s">
        <v>33</v>
      </c>
      <c r="U201" t="s">
        <v>32</v>
      </c>
      <c r="V201" s="4">
        <v>45634</v>
      </c>
      <c r="W201" t="s">
        <v>1648</v>
      </c>
      <c r="X201" t="s">
        <v>1650</v>
      </c>
      <c r="Y201" t="s">
        <v>35</v>
      </c>
      <c r="Z201" t="s">
        <v>36</v>
      </c>
      <c r="AB201" s="4"/>
      <c r="AC201" t="s">
        <v>1649</v>
      </c>
      <c r="AD201" t="s">
        <v>1651</v>
      </c>
      <c r="AE201" t="s">
        <v>37</v>
      </c>
    </row>
    <row r="202" spans="1:31" x14ac:dyDescent="0.3">
      <c r="A202" t="s">
        <v>1008</v>
      </c>
      <c r="B202" s="4">
        <v>45620</v>
      </c>
      <c r="C202" t="s">
        <v>1646</v>
      </c>
      <c r="D202" t="s">
        <v>1009</v>
      </c>
      <c r="E202" t="s">
        <v>26</v>
      </c>
      <c r="F202" t="s">
        <v>1010</v>
      </c>
      <c r="G202" t="s">
        <v>28</v>
      </c>
      <c r="H202" t="s">
        <v>1011</v>
      </c>
      <c r="I202">
        <v>2299</v>
      </c>
      <c r="J202">
        <v>1</v>
      </c>
      <c r="K202" t="s">
        <v>1647</v>
      </c>
      <c r="L202">
        <v>2299</v>
      </c>
      <c r="M202">
        <v>2299</v>
      </c>
      <c r="O202">
        <v>0</v>
      </c>
      <c r="P202">
        <v>0</v>
      </c>
      <c r="Q202" t="s">
        <v>70</v>
      </c>
      <c r="R202" t="s">
        <v>46</v>
      </c>
      <c r="S202" t="s">
        <v>108</v>
      </c>
      <c r="T202" t="s">
        <v>109</v>
      </c>
      <c r="U202" t="s">
        <v>32</v>
      </c>
      <c r="V202" s="4">
        <v>45635</v>
      </c>
      <c r="W202" t="s">
        <v>1648</v>
      </c>
      <c r="X202" t="s">
        <v>1650</v>
      </c>
      <c r="Y202" t="s">
        <v>35</v>
      </c>
      <c r="Z202" t="s">
        <v>49</v>
      </c>
      <c r="AA202" t="s">
        <v>119</v>
      </c>
      <c r="AB202" s="4">
        <v>45664</v>
      </c>
      <c r="AC202" t="s">
        <v>1652</v>
      </c>
      <c r="AD202" t="s">
        <v>1653</v>
      </c>
      <c r="AE202" t="s">
        <v>52</v>
      </c>
    </row>
    <row r="203" spans="1:31" x14ac:dyDescent="0.3">
      <c r="A203" t="s">
        <v>1013</v>
      </c>
      <c r="B203" s="4">
        <v>45620</v>
      </c>
      <c r="C203" t="s">
        <v>1646</v>
      </c>
      <c r="D203" t="s">
        <v>1014</v>
      </c>
      <c r="E203" t="s">
        <v>26</v>
      </c>
      <c r="F203" t="s">
        <v>1015</v>
      </c>
      <c r="G203" t="s">
        <v>42</v>
      </c>
      <c r="H203" t="s">
        <v>1016</v>
      </c>
      <c r="I203">
        <v>4999</v>
      </c>
      <c r="J203">
        <v>1</v>
      </c>
      <c r="K203" t="s">
        <v>1647</v>
      </c>
      <c r="L203">
        <v>4999</v>
      </c>
      <c r="M203">
        <v>4999</v>
      </c>
      <c r="O203">
        <v>0</v>
      </c>
      <c r="P203">
        <v>0</v>
      </c>
      <c r="Q203" t="s">
        <v>45</v>
      </c>
      <c r="R203" t="s">
        <v>71</v>
      </c>
      <c r="S203" t="s">
        <v>116</v>
      </c>
      <c r="T203" t="s">
        <v>117</v>
      </c>
      <c r="U203" t="s">
        <v>47</v>
      </c>
      <c r="V203" s="4">
        <v>45637</v>
      </c>
      <c r="W203" t="s">
        <v>1648</v>
      </c>
      <c r="X203" t="s">
        <v>1650</v>
      </c>
      <c r="Y203" t="s">
        <v>35</v>
      </c>
      <c r="Z203" t="s">
        <v>36</v>
      </c>
      <c r="AB203" s="4"/>
      <c r="AC203" t="s">
        <v>1649</v>
      </c>
      <c r="AD203" t="s">
        <v>1651</v>
      </c>
      <c r="AE203" t="s">
        <v>37</v>
      </c>
    </row>
    <row r="204" spans="1:31" x14ac:dyDescent="0.3">
      <c r="A204" t="s">
        <v>1018</v>
      </c>
      <c r="B204" s="4">
        <v>45621</v>
      </c>
      <c r="C204" t="s">
        <v>1646</v>
      </c>
      <c r="D204" t="s">
        <v>1019</v>
      </c>
      <c r="E204" t="s">
        <v>40</v>
      </c>
      <c r="F204" t="s">
        <v>1020</v>
      </c>
      <c r="G204" t="s">
        <v>58</v>
      </c>
      <c r="H204" t="s">
        <v>1021</v>
      </c>
      <c r="I204">
        <v>2099</v>
      </c>
      <c r="J204">
        <v>1</v>
      </c>
      <c r="K204" t="s">
        <v>1647</v>
      </c>
      <c r="L204">
        <v>2099</v>
      </c>
      <c r="M204">
        <v>2099</v>
      </c>
      <c r="O204">
        <v>0</v>
      </c>
      <c r="P204">
        <v>0</v>
      </c>
      <c r="Q204" t="s">
        <v>30</v>
      </c>
      <c r="R204" t="s">
        <v>31</v>
      </c>
      <c r="S204" t="s">
        <v>129</v>
      </c>
      <c r="T204" t="s">
        <v>130</v>
      </c>
      <c r="U204" t="s">
        <v>47</v>
      </c>
      <c r="V204" s="4">
        <v>45635</v>
      </c>
      <c r="W204" t="s">
        <v>1648</v>
      </c>
      <c r="X204" t="s">
        <v>1650</v>
      </c>
      <c r="Y204" t="s">
        <v>35</v>
      </c>
      <c r="Z204" t="s">
        <v>49</v>
      </c>
      <c r="AA204" t="s">
        <v>89</v>
      </c>
      <c r="AB204" s="4">
        <v>45663</v>
      </c>
      <c r="AC204" t="s">
        <v>1652</v>
      </c>
      <c r="AD204" t="s">
        <v>1653</v>
      </c>
      <c r="AE204" t="s">
        <v>52</v>
      </c>
    </row>
    <row r="205" spans="1:31" x14ac:dyDescent="0.3">
      <c r="A205" t="s">
        <v>1022</v>
      </c>
      <c r="B205" s="4">
        <v>45621</v>
      </c>
      <c r="C205" t="s">
        <v>1646</v>
      </c>
      <c r="D205" t="s">
        <v>1023</v>
      </c>
      <c r="E205" t="s">
        <v>26</v>
      </c>
      <c r="F205" t="s">
        <v>1024</v>
      </c>
      <c r="G205" t="s">
        <v>67</v>
      </c>
      <c r="H205" t="s">
        <v>1025</v>
      </c>
      <c r="I205">
        <v>5799</v>
      </c>
      <c r="J205">
        <v>1</v>
      </c>
      <c r="K205" t="s">
        <v>1647</v>
      </c>
      <c r="L205">
        <v>5799</v>
      </c>
      <c r="M205">
        <v>4929.1499999999996</v>
      </c>
      <c r="N205" t="s">
        <v>777</v>
      </c>
      <c r="O205">
        <v>15</v>
      </c>
      <c r="P205">
        <v>869.85</v>
      </c>
      <c r="Q205" t="s">
        <v>60</v>
      </c>
      <c r="R205" t="s">
        <v>46</v>
      </c>
      <c r="S205" t="s">
        <v>61</v>
      </c>
      <c r="T205" t="s">
        <v>62</v>
      </c>
      <c r="U205" t="s">
        <v>61</v>
      </c>
      <c r="V205" s="4">
        <v>45638</v>
      </c>
      <c r="W205" t="s">
        <v>1648</v>
      </c>
      <c r="X205" t="s">
        <v>1650</v>
      </c>
      <c r="Y205" t="s">
        <v>35</v>
      </c>
      <c r="Z205" t="s">
        <v>49</v>
      </c>
      <c r="AA205" t="s">
        <v>50</v>
      </c>
      <c r="AB205" s="4">
        <v>45667</v>
      </c>
      <c r="AC205" t="s">
        <v>1652</v>
      </c>
      <c r="AD205" t="s">
        <v>1653</v>
      </c>
      <c r="AE205" t="s">
        <v>52</v>
      </c>
    </row>
    <row r="206" spans="1:31" x14ac:dyDescent="0.3">
      <c r="A206" t="s">
        <v>1027</v>
      </c>
      <c r="B206" s="4">
        <v>45621</v>
      </c>
      <c r="C206" t="s">
        <v>1646</v>
      </c>
      <c r="D206" t="s">
        <v>1028</v>
      </c>
      <c r="E206" t="s">
        <v>26</v>
      </c>
      <c r="F206" t="s">
        <v>1029</v>
      </c>
      <c r="G206" t="s">
        <v>79</v>
      </c>
      <c r="H206" t="s">
        <v>1030</v>
      </c>
      <c r="I206">
        <v>1199</v>
      </c>
      <c r="J206">
        <v>1</v>
      </c>
      <c r="K206" t="s">
        <v>1647</v>
      </c>
      <c r="L206">
        <v>1199</v>
      </c>
      <c r="M206">
        <v>1199</v>
      </c>
      <c r="O206">
        <v>0</v>
      </c>
      <c r="P206">
        <v>0</v>
      </c>
      <c r="Q206" t="s">
        <v>45</v>
      </c>
      <c r="R206" t="s">
        <v>71</v>
      </c>
      <c r="S206" t="s">
        <v>32</v>
      </c>
      <c r="T206" t="s">
        <v>33</v>
      </c>
      <c r="U206" t="s">
        <v>32</v>
      </c>
      <c r="V206" s="4">
        <v>45636</v>
      </c>
      <c r="W206" t="s">
        <v>1648</v>
      </c>
      <c r="X206" t="s">
        <v>1650</v>
      </c>
      <c r="Y206" t="s">
        <v>35</v>
      </c>
      <c r="Z206" t="s">
        <v>36</v>
      </c>
      <c r="AB206" s="4"/>
      <c r="AC206" t="s">
        <v>1649</v>
      </c>
      <c r="AD206" t="s">
        <v>1651</v>
      </c>
      <c r="AE206" t="s">
        <v>37</v>
      </c>
    </row>
    <row r="207" spans="1:31" x14ac:dyDescent="0.3">
      <c r="A207" t="s">
        <v>1031</v>
      </c>
      <c r="B207" s="4">
        <v>45622</v>
      </c>
      <c r="C207" t="s">
        <v>1646</v>
      </c>
      <c r="D207" t="s">
        <v>1032</v>
      </c>
      <c r="E207" t="s">
        <v>26</v>
      </c>
      <c r="F207" t="s">
        <v>1033</v>
      </c>
      <c r="G207" t="s">
        <v>28</v>
      </c>
      <c r="H207" t="s">
        <v>1034</v>
      </c>
      <c r="I207">
        <v>1899</v>
      </c>
      <c r="J207">
        <v>1</v>
      </c>
      <c r="K207" t="s">
        <v>1647</v>
      </c>
      <c r="L207">
        <v>1899</v>
      </c>
      <c r="M207">
        <v>1899</v>
      </c>
      <c r="O207">
        <v>0</v>
      </c>
      <c r="P207">
        <v>0</v>
      </c>
      <c r="Q207" t="s">
        <v>128</v>
      </c>
      <c r="R207" t="s">
        <v>31</v>
      </c>
      <c r="S207" t="s">
        <v>47</v>
      </c>
      <c r="T207" t="s">
        <v>47</v>
      </c>
      <c r="U207" t="s">
        <v>47</v>
      </c>
      <c r="V207" s="4">
        <v>45637</v>
      </c>
      <c r="W207" t="s">
        <v>1648</v>
      </c>
      <c r="X207" t="s">
        <v>1650</v>
      </c>
      <c r="Y207" t="s">
        <v>35</v>
      </c>
      <c r="Z207" t="s">
        <v>49</v>
      </c>
      <c r="AA207" t="s">
        <v>158</v>
      </c>
      <c r="AB207" s="4">
        <v>45665</v>
      </c>
      <c r="AC207" t="s">
        <v>1652</v>
      </c>
      <c r="AD207" t="s">
        <v>1653</v>
      </c>
      <c r="AE207" t="s">
        <v>52</v>
      </c>
    </row>
    <row r="208" spans="1:31" x14ac:dyDescent="0.3">
      <c r="A208" t="s">
        <v>1035</v>
      </c>
      <c r="B208" s="4">
        <v>45622</v>
      </c>
      <c r="C208" t="s">
        <v>1646</v>
      </c>
      <c r="D208" t="s">
        <v>1036</v>
      </c>
      <c r="E208" t="s">
        <v>26</v>
      </c>
      <c r="F208" t="s">
        <v>1037</v>
      </c>
      <c r="G208" t="s">
        <v>42</v>
      </c>
      <c r="H208" t="s">
        <v>1038</v>
      </c>
      <c r="I208">
        <v>3699</v>
      </c>
      <c r="J208">
        <v>1</v>
      </c>
      <c r="K208" t="s">
        <v>1647</v>
      </c>
      <c r="L208">
        <v>3699</v>
      </c>
      <c r="M208">
        <v>3699</v>
      </c>
      <c r="O208">
        <v>0</v>
      </c>
      <c r="P208">
        <v>0</v>
      </c>
      <c r="Q208" t="s">
        <v>70</v>
      </c>
      <c r="R208" t="s">
        <v>46</v>
      </c>
      <c r="S208" t="s">
        <v>135</v>
      </c>
      <c r="T208" t="s">
        <v>136</v>
      </c>
      <c r="U208" t="s">
        <v>47</v>
      </c>
      <c r="V208" s="4">
        <v>45639</v>
      </c>
      <c r="W208" t="s">
        <v>1648</v>
      </c>
      <c r="X208" t="s">
        <v>1650</v>
      </c>
      <c r="Y208" t="s">
        <v>35</v>
      </c>
      <c r="Z208" t="s">
        <v>36</v>
      </c>
      <c r="AB208" s="4"/>
      <c r="AC208" t="s">
        <v>1649</v>
      </c>
      <c r="AD208" t="s">
        <v>1651</v>
      </c>
      <c r="AE208" t="s">
        <v>37</v>
      </c>
    </row>
    <row r="209" spans="1:31" x14ac:dyDescent="0.3">
      <c r="A209" t="s">
        <v>1039</v>
      </c>
      <c r="B209" s="4">
        <v>45622</v>
      </c>
      <c r="C209" t="s">
        <v>1646</v>
      </c>
      <c r="D209" t="s">
        <v>1040</v>
      </c>
      <c r="E209" t="s">
        <v>40</v>
      </c>
      <c r="F209" t="s">
        <v>1041</v>
      </c>
      <c r="G209" t="s">
        <v>58</v>
      </c>
      <c r="H209" t="s">
        <v>1042</v>
      </c>
      <c r="I209">
        <v>2699</v>
      </c>
      <c r="J209">
        <v>1</v>
      </c>
      <c r="K209" t="s">
        <v>1647</v>
      </c>
      <c r="L209">
        <v>2699</v>
      </c>
      <c r="M209">
        <v>2294.15</v>
      </c>
      <c r="N209" t="s">
        <v>777</v>
      </c>
      <c r="O209">
        <v>15</v>
      </c>
      <c r="P209">
        <v>404.85</v>
      </c>
      <c r="Q209" t="s">
        <v>30</v>
      </c>
      <c r="R209" t="s">
        <v>71</v>
      </c>
      <c r="S209" t="s">
        <v>156</v>
      </c>
      <c r="T209" t="s">
        <v>130</v>
      </c>
      <c r="U209" t="s">
        <v>47</v>
      </c>
      <c r="V209" s="4">
        <v>45637</v>
      </c>
      <c r="W209" t="s">
        <v>1648</v>
      </c>
      <c r="X209" t="s">
        <v>1650</v>
      </c>
      <c r="Y209" t="s">
        <v>35</v>
      </c>
      <c r="Z209" t="s">
        <v>49</v>
      </c>
      <c r="AA209" t="s">
        <v>75</v>
      </c>
      <c r="AB209" s="4">
        <v>45666</v>
      </c>
      <c r="AC209" t="s">
        <v>1652</v>
      </c>
      <c r="AD209" t="s">
        <v>1653</v>
      </c>
      <c r="AE209" t="s">
        <v>52</v>
      </c>
    </row>
    <row r="210" spans="1:31" x14ac:dyDescent="0.3">
      <c r="A210" t="s">
        <v>1044</v>
      </c>
      <c r="B210" s="4">
        <v>45623</v>
      </c>
      <c r="C210" t="s">
        <v>1646</v>
      </c>
      <c r="D210" t="s">
        <v>1045</v>
      </c>
      <c r="E210" t="s">
        <v>26</v>
      </c>
      <c r="F210" t="s">
        <v>1046</v>
      </c>
      <c r="G210" t="s">
        <v>67</v>
      </c>
      <c r="H210" t="s">
        <v>1047</v>
      </c>
      <c r="I210">
        <v>4999</v>
      </c>
      <c r="J210">
        <v>1</v>
      </c>
      <c r="K210" t="s">
        <v>1647</v>
      </c>
      <c r="L210">
        <v>4999</v>
      </c>
      <c r="M210">
        <v>4999</v>
      </c>
      <c r="O210">
        <v>0</v>
      </c>
      <c r="P210">
        <v>0</v>
      </c>
      <c r="Q210" t="s">
        <v>45</v>
      </c>
      <c r="R210" t="s">
        <v>31</v>
      </c>
      <c r="S210" t="s">
        <v>164</v>
      </c>
      <c r="T210" t="s">
        <v>165</v>
      </c>
      <c r="U210" t="s">
        <v>47</v>
      </c>
      <c r="V210" s="4">
        <v>45640</v>
      </c>
      <c r="W210" t="s">
        <v>1648</v>
      </c>
      <c r="X210" t="s">
        <v>1650</v>
      </c>
      <c r="Y210" t="s">
        <v>35</v>
      </c>
      <c r="Z210" t="s">
        <v>49</v>
      </c>
      <c r="AA210" t="s">
        <v>50</v>
      </c>
      <c r="AB210" s="4">
        <v>45669</v>
      </c>
      <c r="AC210" t="s">
        <v>1652</v>
      </c>
      <c r="AD210" t="s">
        <v>1653</v>
      </c>
      <c r="AE210" t="s">
        <v>52</v>
      </c>
    </row>
    <row r="211" spans="1:31" x14ac:dyDescent="0.3">
      <c r="A211" t="s">
        <v>1049</v>
      </c>
      <c r="B211" s="4">
        <v>45623</v>
      </c>
      <c r="C211" t="s">
        <v>1646</v>
      </c>
      <c r="D211" t="s">
        <v>1050</v>
      </c>
      <c r="E211" t="s">
        <v>26</v>
      </c>
      <c r="F211" t="s">
        <v>1051</v>
      </c>
      <c r="G211" t="s">
        <v>79</v>
      </c>
      <c r="H211" t="s">
        <v>1052</v>
      </c>
      <c r="I211">
        <v>899</v>
      </c>
      <c r="J211">
        <v>2</v>
      </c>
      <c r="K211" t="s">
        <v>1647</v>
      </c>
      <c r="L211">
        <v>1798</v>
      </c>
      <c r="M211">
        <v>1798</v>
      </c>
      <c r="O211">
        <v>0</v>
      </c>
      <c r="P211">
        <v>0</v>
      </c>
      <c r="Q211" t="s">
        <v>60</v>
      </c>
      <c r="R211" t="s">
        <v>46</v>
      </c>
      <c r="S211" t="s">
        <v>171</v>
      </c>
      <c r="T211" t="s">
        <v>172</v>
      </c>
      <c r="U211" t="s">
        <v>32</v>
      </c>
      <c r="V211" s="4">
        <v>45638</v>
      </c>
      <c r="W211" t="s">
        <v>1648</v>
      </c>
      <c r="X211" t="s">
        <v>1650</v>
      </c>
      <c r="Y211" t="s">
        <v>35</v>
      </c>
      <c r="Z211" t="s">
        <v>36</v>
      </c>
      <c r="AB211" s="4"/>
      <c r="AC211" t="s">
        <v>1649</v>
      </c>
      <c r="AD211" t="s">
        <v>1651</v>
      </c>
      <c r="AE211" t="s">
        <v>37</v>
      </c>
    </row>
    <row r="212" spans="1:31" x14ac:dyDescent="0.3">
      <c r="A212" t="s">
        <v>1053</v>
      </c>
      <c r="B212" s="4">
        <v>45623</v>
      </c>
      <c r="C212" t="s">
        <v>1646</v>
      </c>
      <c r="D212" t="s">
        <v>1054</v>
      </c>
      <c r="E212" t="s">
        <v>26</v>
      </c>
      <c r="F212" t="s">
        <v>1055</v>
      </c>
      <c r="G212" t="s">
        <v>28</v>
      </c>
      <c r="H212" t="s">
        <v>1056</v>
      </c>
      <c r="I212">
        <v>1599</v>
      </c>
      <c r="J212">
        <v>1</v>
      </c>
      <c r="K212" t="s">
        <v>1647</v>
      </c>
      <c r="L212">
        <v>1599</v>
      </c>
      <c r="M212">
        <v>1599</v>
      </c>
      <c r="O212">
        <v>0</v>
      </c>
      <c r="P212">
        <v>0</v>
      </c>
      <c r="Q212" t="s">
        <v>30</v>
      </c>
      <c r="R212" t="s">
        <v>71</v>
      </c>
      <c r="S212" t="s">
        <v>177</v>
      </c>
      <c r="T212" t="s">
        <v>109</v>
      </c>
      <c r="U212" t="s">
        <v>32</v>
      </c>
      <c r="V212" s="4">
        <v>45639</v>
      </c>
      <c r="W212" t="s">
        <v>1648</v>
      </c>
      <c r="X212" t="s">
        <v>1650</v>
      </c>
      <c r="Y212" t="s">
        <v>35</v>
      </c>
      <c r="Z212" t="s">
        <v>49</v>
      </c>
      <c r="AA212" t="s">
        <v>119</v>
      </c>
      <c r="AB212" s="4">
        <v>45667</v>
      </c>
      <c r="AC212" t="s">
        <v>1652</v>
      </c>
      <c r="AD212" t="s">
        <v>1653</v>
      </c>
      <c r="AE212" t="s">
        <v>52</v>
      </c>
    </row>
    <row r="213" spans="1:31" x14ac:dyDescent="0.3">
      <c r="A213" t="s">
        <v>1057</v>
      </c>
      <c r="B213" s="4">
        <v>45624</v>
      </c>
      <c r="C213" t="s">
        <v>1646</v>
      </c>
      <c r="D213" t="s">
        <v>1058</v>
      </c>
      <c r="E213" t="s">
        <v>26</v>
      </c>
      <c r="F213" t="s">
        <v>1059</v>
      </c>
      <c r="G213" t="s">
        <v>42</v>
      </c>
      <c r="H213" t="s">
        <v>1060</v>
      </c>
      <c r="I213">
        <v>2599</v>
      </c>
      <c r="J213">
        <v>1</v>
      </c>
      <c r="K213" t="s">
        <v>1647</v>
      </c>
      <c r="L213">
        <v>2599</v>
      </c>
      <c r="M213">
        <v>2209.15</v>
      </c>
      <c r="N213" t="s">
        <v>777</v>
      </c>
      <c r="O213">
        <v>15</v>
      </c>
      <c r="P213">
        <v>389.85</v>
      </c>
      <c r="Q213" t="s">
        <v>128</v>
      </c>
      <c r="R213" t="s">
        <v>31</v>
      </c>
      <c r="S213" t="s">
        <v>184</v>
      </c>
      <c r="T213" t="s">
        <v>185</v>
      </c>
      <c r="U213" t="s">
        <v>47</v>
      </c>
      <c r="V213" s="4">
        <v>45641</v>
      </c>
      <c r="W213" t="s">
        <v>1648</v>
      </c>
      <c r="X213" t="s">
        <v>1650</v>
      </c>
      <c r="Y213" t="s">
        <v>35</v>
      </c>
      <c r="Z213" t="s">
        <v>36</v>
      </c>
      <c r="AB213" s="4"/>
      <c r="AC213" t="s">
        <v>1649</v>
      </c>
      <c r="AD213" t="s">
        <v>1651</v>
      </c>
      <c r="AE213" t="s">
        <v>37</v>
      </c>
    </row>
    <row r="214" spans="1:31" x14ac:dyDescent="0.3">
      <c r="A214" t="s">
        <v>1061</v>
      </c>
      <c r="B214" s="4">
        <v>45624</v>
      </c>
      <c r="C214" t="s">
        <v>1646</v>
      </c>
      <c r="D214" t="s">
        <v>1062</v>
      </c>
      <c r="E214" t="s">
        <v>40</v>
      </c>
      <c r="F214" t="s">
        <v>1063</v>
      </c>
      <c r="G214" t="s">
        <v>58</v>
      </c>
      <c r="H214" t="s">
        <v>1064</v>
      </c>
      <c r="I214">
        <v>2399</v>
      </c>
      <c r="J214">
        <v>1</v>
      </c>
      <c r="K214" t="s">
        <v>1647</v>
      </c>
      <c r="L214">
        <v>2399</v>
      </c>
      <c r="M214">
        <v>2399</v>
      </c>
      <c r="O214">
        <v>0</v>
      </c>
      <c r="P214">
        <v>0</v>
      </c>
      <c r="Q214" t="s">
        <v>70</v>
      </c>
      <c r="R214" t="s">
        <v>46</v>
      </c>
      <c r="S214" t="s">
        <v>190</v>
      </c>
      <c r="T214" t="s">
        <v>172</v>
      </c>
      <c r="U214" t="s">
        <v>32</v>
      </c>
      <c r="V214" s="4">
        <v>45639</v>
      </c>
      <c r="W214" t="s">
        <v>1648</v>
      </c>
      <c r="X214" t="s">
        <v>1650</v>
      </c>
      <c r="Y214" t="s">
        <v>35</v>
      </c>
      <c r="Z214" t="s">
        <v>49</v>
      </c>
      <c r="AA214" t="s">
        <v>89</v>
      </c>
      <c r="AB214" s="4">
        <v>45668</v>
      </c>
      <c r="AC214" t="s">
        <v>1652</v>
      </c>
      <c r="AD214" t="s">
        <v>1653</v>
      </c>
      <c r="AE214" t="s">
        <v>52</v>
      </c>
    </row>
    <row r="215" spans="1:31" x14ac:dyDescent="0.3">
      <c r="A215" t="s">
        <v>1066</v>
      </c>
      <c r="B215" s="4">
        <v>45624</v>
      </c>
      <c r="C215" t="s">
        <v>1646</v>
      </c>
      <c r="D215" t="s">
        <v>1067</v>
      </c>
      <c r="E215" t="s">
        <v>26</v>
      </c>
      <c r="F215" t="s">
        <v>1068</v>
      </c>
      <c r="G215" t="s">
        <v>67</v>
      </c>
      <c r="H215" t="s">
        <v>1069</v>
      </c>
      <c r="I215">
        <v>6499</v>
      </c>
      <c r="J215">
        <v>1</v>
      </c>
      <c r="K215" t="s">
        <v>1647</v>
      </c>
      <c r="L215">
        <v>6499</v>
      </c>
      <c r="M215">
        <v>6499</v>
      </c>
      <c r="O215">
        <v>0</v>
      </c>
      <c r="P215">
        <v>0</v>
      </c>
      <c r="Q215" t="s">
        <v>45</v>
      </c>
      <c r="R215" t="s">
        <v>71</v>
      </c>
      <c r="S215" t="s">
        <v>195</v>
      </c>
      <c r="T215" t="s">
        <v>33</v>
      </c>
      <c r="U215" t="s">
        <v>32</v>
      </c>
      <c r="V215" s="4">
        <v>45642</v>
      </c>
      <c r="W215" t="s">
        <v>1648</v>
      </c>
      <c r="X215" t="s">
        <v>1650</v>
      </c>
      <c r="Y215" t="s">
        <v>35</v>
      </c>
      <c r="Z215" t="s">
        <v>49</v>
      </c>
      <c r="AA215" t="s">
        <v>50</v>
      </c>
      <c r="AB215" s="4">
        <v>45671</v>
      </c>
      <c r="AC215" t="s">
        <v>1652</v>
      </c>
      <c r="AD215" t="s">
        <v>1653</v>
      </c>
      <c r="AE215" t="s">
        <v>52</v>
      </c>
    </row>
    <row r="216" spans="1:31" x14ac:dyDescent="0.3">
      <c r="A216" t="s">
        <v>1071</v>
      </c>
      <c r="B216" s="4">
        <v>45625</v>
      </c>
      <c r="C216" t="s">
        <v>1646</v>
      </c>
      <c r="D216" t="s">
        <v>1072</v>
      </c>
      <c r="E216" t="s">
        <v>26</v>
      </c>
      <c r="F216" t="s">
        <v>1073</v>
      </c>
      <c r="G216" t="s">
        <v>79</v>
      </c>
      <c r="H216" t="s">
        <v>1074</v>
      </c>
      <c r="I216">
        <v>499</v>
      </c>
      <c r="J216">
        <v>2</v>
      </c>
      <c r="K216" t="s">
        <v>1647</v>
      </c>
      <c r="L216">
        <v>998</v>
      </c>
      <c r="M216">
        <v>998</v>
      </c>
      <c r="O216">
        <v>0</v>
      </c>
      <c r="P216">
        <v>0</v>
      </c>
      <c r="Q216" t="s">
        <v>30</v>
      </c>
      <c r="R216" t="s">
        <v>31</v>
      </c>
      <c r="S216" t="s">
        <v>202</v>
      </c>
      <c r="T216" t="s">
        <v>73</v>
      </c>
      <c r="U216" t="s">
        <v>61</v>
      </c>
      <c r="V216" s="4">
        <v>45640</v>
      </c>
      <c r="W216" t="s">
        <v>1648</v>
      </c>
      <c r="X216" t="s">
        <v>1650</v>
      </c>
      <c r="Y216" t="s">
        <v>35</v>
      </c>
      <c r="Z216" t="s">
        <v>36</v>
      </c>
      <c r="AB216" s="4"/>
      <c r="AC216" t="s">
        <v>1649</v>
      </c>
      <c r="AD216" t="s">
        <v>1651</v>
      </c>
      <c r="AE216" t="s">
        <v>37</v>
      </c>
    </row>
    <row r="217" spans="1:31" x14ac:dyDescent="0.3">
      <c r="A217" t="s">
        <v>1075</v>
      </c>
      <c r="B217" s="4">
        <v>45625</v>
      </c>
      <c r="C217" t="s">
        <v>1646</v>
      </c>
      <c r="D217" t="s">
        <v>1076</v>
      </c>
      <c r="E217" t="s">
        <v>26</v>
      </c>
      <c r="F217" t="s">
        <v>1077</v>
      </c>
      <c r="G217" t="s">
        <v>28</v>
      </c>
      <c r="H217" t="s">
        <v>1078</v>
      </c>
      <c r="I217">
        <v>1999</v>
      </c>
      <c r="J217">
        <v>1</v>
      </c>
      <c r="K217" t="s">
        <v>1647</v>
      </c>
      <c r="L217">
        <v>1999</v>
      </c>
      <c r="M217">
        <v>1999</v>
      </c>
      <c r="O217">
        <v>0</v>
      </c>
      <c r="P217">
        <v>0</v>
      </c>
      <c r="Q217" t="s">
        <v>60</v>
      </c>
      <c r="R217" t="s">
        <v>46</v>
      </c>
      <c r="S217" t="s">
        <v>208</v>
      </c>
      <c r="T217" t="s">
        <v>209</v>
      </c>
      <c r="U217" t="s">
        <v>61</v>
      </c>
      <c r="V217" s="4"/>
      <c r="W217" t="s">
        <v>1656</v>
      </c>
      <c r="X217" t="s">
        <v>1657</v>
      </c>
      <c r="Y217" t="s">
        <v>137</v>
      </c>
      <c r="Z217" t="s">
        <v>36</v>
      </c>
      <c r="AB217" s="4"/>
      <c r="AC217" t="s">
        <v>1656</v>
      </c>
      <c r="AD217" t="s">
        <v>1651</v>
      </c>
      <c r="AE217" t="s">
        <v>37</v>
      </c>
    </row>
    <row r="218" spans="1:31" x14ac:dyDescent="0.3">
      <c r="A218" t="s">
        <v>1079</v>
      </c>
      <c r="B218" s="4">
        <v>45625</v>
      </c>
      <c r="C218" t="s">
        <v>1646</v>
      </c>
      <c r="D218" t="s">
        <v>1080</v>
      </c>
      <c r="E218" t="s">
        <v>26</v>
      </c>
      <c r="F218" t="s">
        <v>1081</v>
      </c>
      <c r="G218" t="s">
        <v>42</v>
      </c>
      <c r="H218" t="s">
        <v>1082</v>
      </c>
      <c r="I218">
        <v>5499</v>
      </c>
      <c r="J218">
        <v>1</v>
      </c>
      <c r="K218" t="s">
        <v>1647</v>
      </c>
      <c r="L218">
        <v>5499</v>
      </c>
      <c r="M218">
        <v>4674.1499999999996</v>
      </c>
      <c r="N218" t="s">
        <v>777</v>
      </c>
      <c r="O218">
        <v>15</v>
      </c>
      <c r="P218">
        <v>824.85</v>
      </c>
      <c r="Q218" t="s">
        <v>45</v>
      </c>
      <c r="R218" t="s">
        <v>71</v>
      </c>
      <c r="S218" t="s">
        <v>215</v>
      </c>
      <c r="T218" t="s">
        <v>216</v>
      </c>
      <c r="U218" t="s">
        <v>61</v>
      </c>
      <c r="V218" s="4">
        <v>45643</v>
      </c>
      <c r="W218" t="s">
        <v>1648</v>
      </c>
      <c r="X218" t="s">
        <v>1650</v>
      </c>
      <c r="Y218" t="s">
        <v>35</v>
      </c>
      <c r="Z218" t="s">
        <v>49</v>
      </c>
      <c r="AA218" t="s">
        <v>75</v>
      </c>
      <c r="AB218" s="4">
        <v>45672</v>
      </c>
      <c r="AC218" t="s">
        <v>1652</v>
      </c>
      <c r="AD218" t="s">
        <v>1653</v>
      </c>
      <c r="AE218" t="s">
        <v>52</v>
      </c>
    </row>
    <row r="219" spans="1:31" x14ac:dyDescent="0.3">
      <c r="A219" t="s">
        <v>1084</v>
      </c>
      <c r="B219" s="4">
        <v>45626</v>
      </c>
      <c r="C219" t="s">
        <v>1646</v>
      </c>
      <c r="D219" t="s">
        <v>1085</v>
      </c>
      <c r="E219" t="s">
        <v>40</v>
      </c>
      <c r="F219" t="s">
        <v>1086</v>
      </c>
      <c r="G219" t="s">
        <v>58</v>
      </c>
      <c r="H219" t="s">
        <v>1087</v>
      </c>
      <c r="I219">
        <v>2799</v>
      </c>
      <c r="J219">
        <v>1</v>
      </c>
      <c r="K219" t="s">
        <v>1647</v>
      </c>
      <c r="L219">
        <v>2799</v>
      </c>
      <c r="M219">
        <v>2799</v>
      </c>
      <c r="O219">
        <v>0</v>
      </c>
      <c r="P219">
        <v>0</v>
      </c>
      <c r="Q219" t="s">
        <v>128</v>
      </c>
      <c r="R219" t="s">
        <v>31</v>
      </c>
      <c r="S219" t="s">
        <v>221</v>
      </c>
      <c r="T219" t="s">
        <v>209</v>
      </c>
      <c r="U219" t="s">
        <v>61</v>
      </c>
      <c r="V219" s="4">
        <v>45641</v>
      </c>
      <c r="W219" t="s">
        <v>1648</v>
      </c>
      <c r="X219" t="s">
        <v>1650</v>
      </c>
      <c r="Y219" t="s">
        <v>35</v>
      </c>
      <c r="Z219" t="s">
        <v>36</v>
      </c>
      <c r="AB219" s="4"/>
      <c r="AC219" t="s">
        <v>1649</v>
      </c>
      <c r="AD219" t="s">
        <v>1651</v>
      </c>
      <c r="AE219" t="s">
        <v>37</v>
      </c>
    </row>
    <row r="220" spans="1:31" x14ac:dyDescent="0.3">
      <c r="A220" t="s">
        <v>1088</v>
      </c>
      <c r="B220" s="4">
        <v>45626</v>
      </c>
      <c r="C220" t="s">
        <v>1646</v>
      </c>
      <c r="D220" t="s">
        <v>1089</v>
      </c>
      <c r="E220" t="s">
        <v>26</v>
      </c>
      <c r="F220" t="s">
        <v>1090</v>
      </c>
      <c r="G220" t="s">
        <v>67</v>
      </c>
      <c r="H220" t="s">
        <v>1091</v>
      </c>
      <c r="I220">
        <v>5299</v>
      </c>
      <c r="J220">
        <v>1</v>
      </c>
      <c r="K220" t="s">
        <v>1647</v>
      </c>
      <c r="L220">
        <v>5299</v>
      </c>
      <c r="M220">
        <v>5299</v>
      </c>
      <c r="O220">
        <v>0</v>
      </c>
      <c r="P220">
        <v>0</v>
      </c>
      <c r="Q220" t="s">
        <v>70</v>
      </c>
      <c r="R220" t="s">
        <v>46</v>
      </c>
      <c r="S220" t="s">
        <v>226</v>
      </c>
      <c r="T220" t="s">
        <v>62</v>
      </c>
      <c r="U220" t="s">
        <v>61</v>
      </c>
      <c r="V220" s="4">
        <v>45644</v>
      </c>
      <c r="W220" t="s">
        <v>1648</v>
      </c>
      <c r="X220" t="s">
        <v>1650</v>
      </c>
      <c r="Y220" t="s">
        <v>35</v>
      </c>
      <c r="Z220" t="s">
        <v>49</v>
      </c>
      <c r="AA220" t="s">
        <v>158</v>
      </c>
      <c r="AB220" s="4">
        <v>45673</v>
      </c>
      <c r="AC220" t="s">
        <v>1652</v>
      </c>
      <c r="AD220" t="s">
        <v>1653</v>
      </c>
      <c r="AE220" t="s">
        <v>52</v>
      </c>
    </row>
    <row r="221" spans="1:31" x14ac:dyDescent="0.3">
      <c r="A221" t="s">
        <v>1093</v>
      </c>
      <c r="B221" s="4">
        <v>45626</v>
      </c>
      <c r="C221" t="s">
        <v>1646</v>
      </c>
      <c r="D221" t="s">
        <v>1094</v>
      </c>
      <c r="E221" t="s">
        <v>26</v>
      </c>
      <c r="F221" t="s">
        <v>1095</v>
      </c>
      <c r="G221" t="s">
        <v>79</v>
      </c>
      <c r="H221" t="s">
        <v>1096</v>
      </c>
      <c r="I221">
        <v>1099</v>
      </c>
      <c r="J221">
        <v>1</v>
      </c>
      <c r="K221" t="s">
        <v>1647</v>
      </c>
      <c r="L221">
        <v>1099</v>
      </c>
      <c r="M221">
        <v>1099</v>
      </c>
      <c r="O221">
        <v>0</v>
      </c>
      <c r="P221">
        <v>0</v>
      </c>
      <c r="Q221" t="s">
        <v>30</v>
      </c>
      <c r="R221" t="s">
        <v>71</v>
      </c>
      <c r="S221" t="s">
        <v>233</v>
      </c>
      <c r="T221" t="s">
        <v>109</v>
      </c>
      <c r="U221" t="s">
        <v>32</v>
      </c>
      <c r="V221" s="4">
        <v>45642</v>
      </c>
      <c r="W221" t="s">
        <v>1648</v>
      </c>
      <c r="X221" t="s">
        <v>1650</v>
      </c>
      <c r="Y221" t="s">
        <v>35</v>
      </c>
      <c r="Z221" t="s">
        <v>49</v>
      </c>
      <c r="AA221" t="s">
        <v>50</v>
      </c>
      <c r="AB221" s="4">
        <v>45671</v>
      </c>
      <c r="AC221" t="s">
        <v>1652</v>
      </c>
      <c r="AD221" t="s">
        <v>1653</v>
      </c>
      <c r="AE221" t="s">
        <v>52</v>
      </c>
    </row>
    <row r="222" spans="1:31" x14ac:dyDescent="0.3">
      <c r="A222" t="s">
        <v>1097</v>
      </c>
      <c r="B222" s="4">
        <v>45627</v>
      </c>
      <c r="C222" t="s">
        <v>1646</v>
      </c>
      <c r="D222" t="s">
        <v>1098</v>
      </c>
      <c r="E222" t="s">
        <v>26</v>
      </c>
      <c r="F222" t="s">
        <v>1099</v>
      </c>
      <c r="G222" t="s">
        <v>28</v>
      </c>
      <c r="H222" t="s">
        <v>1100</v>
      </c>
      <c r="I222">
        <v>2499</v>
      </c>
      <c r="J222">
        <v>1</v>
      </c>
      <c r="K222" t="s">
        <v>1647</v>
      </c>
      <c r="L222">
        <v>2499</v>
      </c>
      <c r="M222">
        <v>1999.2</v>
      </c>
      <c r="N222" t="s">
        <v>1101</v>
      </c>
      <c r="O222">
        <v>20</v>
      </c>
      <c r="P222">
        <v>499.8</v>
      </c>
      <c r="Q222" t="s">
        <v>45</v>
      </c>
      <c r="R222" t="s">
        <v>31</v>
      </c>
      <c r="S222" t="s">
        <v>32</v>
      </c>
      <c r="T222" t="s">
        <v>33</v>
      </c>
      <c r="U222" t="s">
        <v>32</v>
      </c>
      <c r="V222" s="4">
        <v>45632</v>
      </c>
      <c r="W222" t="s">
        <v>1648</v>
      </c>
      <c r="X222" t="s">
        <v>1650</v>
      </c>
      <c r="Y222" t="s">
        <v>35</v>
      </c>
      <c r="Z222" t="s">
        <v>36</v>
      </c>
      <c r="AB222" s="4"/>
      <c r="AC222" t="s">
        <v>1649</v>
      </c>
      <c r="AD222" t="s">
        <v>1651</v>
      </c>
      <c r="AE222" t="s">
        <v>37</v>
      </c>
    </row>
    <row r="223" spans="1:31" x14ac:dyDescent="0.3">
      <c r="A223" t="s">
        <v>1102</v>
      </c>
      <c r="B223" s="4">
        <v>45627</v>
      </c>
      <c r="C223" t="s">
        <v>1646</v>
      </c>
      <c r="D223" t="s">
        <v>1103</v>
      </c>
      <c r="E223" t="s">
        <v>26</v>
      </c>
      <c r="F223" t="s">
        <v>1104</v>
      </c>
      <c r="G223" t="s">
        <v>67</v>
      </c>
      <c r="H223" t="s">
        <v>1105</v>
      </c>
      <c r="I223">
        <v>6499</v>
      </c>
      <c r="J223">
        <v>1</v>
      </c>
      <c r="K223" t="s">
        <v>1647</v>
      </c>
      <c r="L223">
        <v>6499</v>
      </c>
      <c r="M223">
        <v>5199.2</v>
      </c>
      <c r="N223" t="s">
        <v>1101</v>
      </c>
      <c r="O223">
        <v>20</v>
      </c>
      <c r="P223">
        <v>1299.8</v>
      </c>
      <c r="Q223" t="s">
        <v>60</v>
      </c>
      <c r="R223" t="s">
        <v>46</v>
      </c>
      <c r="S223" t="s">
        <v>47</v>
      </c>
      <c r="T223" t="s">
        <v>47</v>
      </c>
      <c r="U223" t="s">
        <v>47</v>
      </c>
      <c r="V223" s="4">
        <v>45634</v>
      </c>
      <c r="W223" t="s">
        <v>1648</v>
      </c>
      <c r="X223" t="s">
        <v>1650</v>
      </c>
      <c r="Y223" t="s">
        <v>35</v>
      </c>
      <c r="Z223" t="s">
        <v>49</v>
      </c>
      <c r="AA223" t="s">
        <v>89</v>
      </c>
      <c r="AB223" s="4">
        <v>45654</v>
      </c>
      <c r="AC223" t="s">
        <v>1652</v>
      </c>
      <c r="AD223" t="s">
        <v>1653</v>
      </c>
      <c r="AE223" t="s">
        <v>121</v>
      </c>
    </row>
    <row r="224" spans="1:31" x14ac:dyDescent="0.3">
      <c r="A224" t="s">
        <v>1106</v>
      </c>
      <c r="B224" s="4">
        <v>45627</v>
      </c>
      <c r="C224" t="s">
        <v>1646</v>
      </c>
      <c r="D224" t="s">
        <v>1107</v>
      </c>
      <c r="E224" t="s">
        <v>40</v>
      </c>
      <c r="F224" t="s">
        <v>1108</v>
      </c>
      <c r="G224" t="s">
        <v>79</v>
      </c>
      <c r="H224" t="s">
        <v>1109</v>
      </c>
      <c r="I224">
        <v>1499</v>
      </c>
      <c r="J224">
        <v>1</v>
      </c>
      <c r="K224" t="s">
        <v>1647</v>
      </c>
      <c r="L224">
        <v>1499</v>
      </c>
      <c r="M224">
        <v>1499</v>
      </c>
      <c r="O224">
        <v>0</v>
      </c>
      <c r="P224">
        <v>0</v>
      </c>
      <c r="Q224" t="s">
        <v>30</v>
      </c>
      <c r="R224" t="s">
        <v>71</v>
      </c>
      <c r="S224" t="s">
        <v>135</v>
      </c>
      <c r="T224" t="s">
        <v>136</v>
      </c>
      <c r="U224" t="s">
        <v>47</v>
      </c>
      <c r="V224" s="4">
        <v>45633</v>
      </c>
      <c r="W224" t="s">
        <v>1648</v>
      </c>
      <c r="X224" t="s">
        <v>1650</v>
      </c>
      <c r="Y224" t="s">
        <v>35</v>
      </c>
      <c r="Z224" t="s">
        <v>36</v>
      </c>
      <c r="AB224" s="4"/>
      <c r="AC224" t="s">
        <v>1649</v>
      </c>
      <c r="AD224" t="s">
        <v>1651</v>
      </c>
      <c r="AE224" t="s">
        <v>37</v>
      </c>
    </row>
    <row r="225" spans="1:31" x14ac:dyDescent="0.3">
      <c r="A225" t="s">
        <v>1110</v>
      </c>
      <c r="B225" s="4">
        <v>45627</v>
      </c>
      <c r="C225" t="s">
        <v>1646</v>
      </c>
      <c r="D225" t="s">
        <v>1111</v>
      </c>
      <c r="E225" t="s">
        <v>26</v>
      </c>
      <c r="F225" t="s">
        <v>1112</v>
      </c>
      <c r="G225" t="s">
        <v>42</v>
      </c>
      <c r="H225" t="s">
        <v>1113</v>
      </c>
      <c r="I225">
        <v>2899</v>
      </c>
      <c r="J225">
        <v>1</v>
      </c>
      <c r="K225" t="s">
        <v>1647</v>
      </c>
      <c r="L225">
        <v>2899</v>
      </c>
      <c r="M225">
        <v>2319.1999999999998</v>
      </c>
      <c r="N225" t="s">
        <v>1101</v>
      </c>
      <c r="O225">
        <v>20</v>
      </c>
      <c r="P225">
        <v>579.79999999999995</v>
      </c>
      <c r="Q225" t="s">
        <v>70</v>
      </c>
      <c r="R225" t="s">
        <v>31</v>
      </c>
      <c r="S225" t="s">
        <v>624</v>
      </c>
      <c r="T225" t="s">
        <v>136</v>
      </c>
      <c r="U225" t="s">
        <v>47</v>
      </c>
      <c r="V225" s="4">
        <v>45635</v>
      </c>
      <c r="W225" t="s">
        <v>1648</v>
      </c>
      <c r="X225" t="s">
        <v>1650</v>
      </c>
      <c r="Y225" t="s">
        <v>35</v>
      </c>
      <c r="Z225" t="s">
        <v>49</v>
      </c>
      <c r="AA225" t="s">
        <v>50</v>
      </c>
      <c r="AB225" s="4">
        <v>45656</v>
      </c>
      <c r="AC225" t="s">
        <v>1652</v>
      </c>
      <c r="AD225" t="s">
        <v>1653</v>
      </c>
      <c r="AE225" t="s">
        <v>52</v>
      </c>
    </row>
    <row r="226" spans="1:31" x14ac:dyDescent="0.3">
      <c r="A226" t="s">
        <v>1114</v>
      </c>
      <c r="B226" s="4">
        <v>45628</v>
      </c>
      <c r="C226" t="s">
        <v>1646</v>
      </c>
      <c r="D226" t="s">
        <v>1115</v>
      </c>
      <c r="E226" t="s">
        <v>26</v>
      </c>
      <c r="F226" t="s">
        <v>1116</v>
      </c>
      <c r="G226" t="s">
        <v>28</v>
      </c>
      <c r="H226" t="s">
        <v>1117</v>
      </c>
      <c r="I226">
        <v>1599</v>
      </c>
      <c r="J226">
        <v>2</v>
      </c>
      <c r="K226" t="s">
        <v>1647</v>
      </c>
      <c r="L226">
        <v>3198</v>
      </c>
      <c r="M226">
        <v>3198</v>
      </c>
      <c r="O226">
        <v>0</v>
      </c>
      <c r="P226">
        <v>0</v>
      </c>
      <c r="Q226" t="s">
        <v>45</v>
      </c>
      <c r="R226" t="s">
        <v>46</v>
      </c>
      <c r="S226" t="s">
        <v>1118</v>
      </c>
      <c r="T226" t="s">
        <v>1119</v>
      </c>
      <c r="U226" t="s">
        <v>47</v>
      </c>
      <c r="V226" s="4">
        <v>45635</v>
      </c>
      <c r="W226" t="s">
        <v>1648</v>
      </c>
      <c r="X226" t="s">
        <v>1650</v>
      </c>
      <c r="Y226" t="s">
        <v>35</v>
      </c>
      <c r="Z226" t="s">
        <v>36</v>
      </c>
      <c r="AB226" s="4"/>
      <c r="AC226" t="s">
        <v>1649</v>
      </c>
      <c r="AD226" t="s">
        <v>1651</v>
      </c>
      <c r="AE226" t="s">
        <v>37</v>
      </c>
    </row>
    <row r="227" spans="1:31" x14ac:dyDescent="0.3">
      <c r="A227" t="s">
        <v>1120</v>
      </c>
      <c r="B227" s="4">
        <v>45628</v>
      </c>
      <c r="C227" t="s">
        <v>1646</v>
      </c>
      <c r="D227" t="s">
        <v>1121</v>
      </c>
      <c r="E227" t="s">
        <v>26</v>
      </c>
      <c r="F227" t="s">
        <v>1122</v>
      </c>
      <c r="G227" t="s">
        <v>58</v>
      </c>
      <c r="H227" t="s">
        <v>1123</v>
      </c>
      <c r="I227">
        <v>1799</v>
      </c>
      <c r="J227">
        <v>1</v>
      </c>
      <c r="K227" t="s">
        <v>1647</v>
      </c>
      <c r="L227">
        <v>1799</v>
      </c>
      <c r="M227">
        <v>1439.2</v>
      </c>
      <c r="N227" t="s">
        <v>1101</v>
      </c>
      <c r="O227">
        <v>20</v>
      </c>
      <c r="P227">
        <v>359.8</v>
      </c>
      <c r="Q227" t="s">
        <v>128</v>
      </c>
      <c r="R227" t="s">
        <v>71</v>
      </c>
      <c r="S227" t="s">
        <v>1124</v>
      </c>
      <c r="T227" t="s">
        <v>1125</v>
      </c>
      <c r="U227" t="s">
        <v>47</v>
      </c>
      <c r="V227" s="4">
        <v>45636</v>
      </c>
      <c r="W227" t="s">
        <v>1648</v>
      </c>
      <c r="X227" t="s">
        <v>1650</v>
      </c>
      <c r="Y227" t="s">
        <v>35</v>
      </c>
      <c r="Z227" t="s">
        <v>36</v>
      </c>
      <c r="AB227" s="4"/>
      <c r="AC227" t="s">
        <v>1649</v>
      </c>
      <c r="AD227" t="s">
        <v>1651</v>
      </c>
      <c r="AE227" t="s">
        <v>37</v>
      </c>
    </row>
    <row r="228" spans="1:31" x14ac:dyDescent="0.3">
      <c r="A228" t="s">
        <v>1126</v>
      </c>
      <c r="B228" s="4">
        <v>45628</v>
      </c>
      <c r="C228" t="s">
        <v>1646</v>
      </c>
      <c r="D228" t="s">
        <v>1127</v>
      </c>
      <c r="E228" t="s">
        <v>26</v>
      </c>
      <c r="F228" t="s">
        <v>495</v>
      </c>
      <c r="G228" t="s">
        <v>67</v>
      </c>
      <c r="H228" t="s">
        <v>496</v>
      </c>
      <c r="I228">
        <v>3299</v>
      </c>
      <c r="J228">
        <v>1</v>
      </c>
      <c r="K228" t="s">
        <v>1647</v>
      </c>
      <c r="L228">
        <v>3299</v>
      </c>
      <c r="M228">
        <v>3299</v>
      </c>
      <c r="O228">
        <v>0</v>
      </c>
      <c r="P228">
        <v>0</v>
      </c>
      <c r="Q228" t="s">
        <v>30</v>
      </c>
      <c r="R228" t="s">
        <v>31</v>
      </c>
      <c r="S228" t="s">
        <v>1128</v>
      </c>
      <c r="T228" t="s">
        <v>1129</v>
      </c>
      <c r="U228" t="s">
        <v>47</v>
      </c>
      <c r="V228" s="4">
        <v>45637</v>
      </c>
      <c r="W228" t="s">
        <v>1648</v>
      </c>
      <c r="X228" t="s">
        <v>1650</v>
      </c>
      <c r="Y228" t="s">
        <v>35</v>
      </c>
      <c r="Z228" t="s">
        <v>49</v>
      </c>
      <c r="AA228" t="s">
        <v>119</v>
      </c>
      <c r="AB228" s="4">
        <v>45659</v>
      </c>
      <c r="AC228" t="s">
        <v>1652</v>
      </c>
      <c r="AD228" t="s">
        <v>1653</v>
      </c>
      <c r="AE228" t="s">
        <v>121</v>
      </c>
    </row>
    <row r="229" spans="1:31" x14ac:dyDescent="0.3">
      <c r="A229" t="s">
        <v>1130</v>
      </c>
      <c r="B229" s="4">
        <v>45628</v>
      </c>
      <c r="C229" t="s">
        <v>1646</v>
      </c>
      <c r="D229" t="s">
        <v>1131</v>
      </c>
      <c r="E229" t="s">
        <v>40</v>
      </c>
      <c r="F229" t="s">
        <v>1132</v>
      </c>
      <c r="G229" t="s">
        <v>79</v>
      </c>
      <c r="H229" t="s">
        <v>1133</v>
      </c>
      <c r="I229">
        <v>599</v>
      </c>
      <c r="J229">
        <v>2</v>
      </c>
      <c r="K229" t="s">
        <v>1647</v>
      </c>
      <c r="L229">
        <v>1198</v>
      </c>
      <c r="M229">
        <v>958.4</v>
      </c>
      <c r="N229" t="s">
        <v>1101</v>
      </c>
      <c r="O229">
        <v>20</v>
      </c>
      <c r="P229">
        <v>239.6</v>
      </c>
      <c r="Q229" t="s">
        <v>60</v>
      </c>
      <c r="R229" t="s">
        <v>46</v>
      </c>
      <c r="S229" t="s">
        <v>1134</v>
      </c>
      <c r="T229" t="s">
        <v>1119</v>
      </c>
      <c r="U229" t="s">
        <v>47</v>
      </c>
      <c r="V229" s="4">
        <v>45636</v>
      </c>
      <c r="W229" t="s">
        <v>1648</v>
      </c>
      <c r="X229" t="s">
        <v>1650</v>
      </c>
      <c r="Y229" t="s">
        <v>35</v>
      </c>
      <c r="Z229" t="s">
        <v>36</v>
      </c>
      <c r="AB229" s="4"/>
      <c r="AC229" t="s">
        <v>1649</v>
      </c>
      <c r="AD229" t="s">
        <v>1651</v>
      </c>
      <c r="AE229" t="s">
        <v>37</v>
      </c>
    </row>
    <row r="230" spans="1:31" x14ac:dyDescent="0.3">
      <c r="A230" t="s">
        <v>1135</v>
      </c>
      <c r="B230" s="4">
        <v>45629</v>
      </c>
      <c r="C230" t="s">
        <v>1646</v>
      </c>
      <c r="D230" t="s">
        <v>1136</v>
      </c>
      <c r="E230" t="s">
        <v>26</v>
      </c>
      <c r="F230" t="s">
        <v>1137</v>
      </c>
      <c r="G230" t="s">
        <v>28</v>
      </c>
      <c r="H230" t="s">
        <v>1138</v>
      </c>
      <c r="I230">
        <v>2199</v>
      </c>
      <c r="J230">
        <v>1</v>
      </c>
      <c r="K230" t="s">
        <v>1647</v>
      </c>
      <c r="L230">
        <v>2199</v>
      </c>
      <c r="M230">
        <v>2199</v>
      </c>
      <c r="O230">
        <v>0</v>
      </c>
      <c r="P230">
        <v>0</v>
      </c>
      <c r="Q230" t="s">
        <v>70</v>
      </c>
      <c r="R230" t="s">
        <v>71</v>
      </c>
      <c r="S230" t="s">
        <v>1139</v>
      </c>
      <c r="T230" t="s">
        <v>102</v>
      </c>
      <c r="U230" t="s">
        <v>47</v>
      </c>
      <c r="V230" s="4">
        <v>45638</v>
      </c>
      <c r="W230" t="s">
        <v>1648</v>
      </c>
      <c r="X230" t="s">
        <v>1650</v>
      </c>
      <c r="Y230" t="s">
        <v>35</v>
      </c>
      <c r="Z230" t="s">
        <v>49</v>
      </c>
      <c r="AA230" t="s">
        <v>50</v>
      </c>
      <c r="AB230" s="4">
        <v>45660</v>
      </c>
      <c r="AC230" t="s">
        <v>1652</v>
      </c>
      <c r="AD230" t="s">
        <v>1653</v>
      </c>
      <c r="AE230" t="s">
        <v>52</v>
      </c>
    </row>
    <row r="231" spans="1:31" x14ac:dyDescent="0.3">
      <c r="A231" t="s">
        <v>1140</v>
      </c>
      <c r="B231" s="4">
        <v>45629</v>
      </c>
      <c r="C231" t="s">
        <v>1646</v>
      </c>
      <c r="D231" t="s">
        <v>1141</v>
      </c>
      <c r="E231" t="s">
        <v>26</v>
      </c>
      <c r="F231" t="s">
        <v>1142</v>
      </c>
      <c r="G231" t="s">
        <v>42</v>
      </c>
      <c r="H231" t="s">
        <v>310</v>
      </c>
      <c r="I231">
        <v>2499</v>
      </c>
      <c r="J231">
        <v>1</v>
      </c>
      <c r="K231" t="s">
        <v>1647</v>
      </c>
      <c r="L231">
        <v>2499</v>
      </c>
      <c r="M231">
        <v>1999.2</v>
      </c>
      <c r="N231" t="s">
        <v>1101</v>
      </c>
      <c r="O231">
        <v>20</v>
      </c>
      <c r="P231">
        <v>499.8</v>
      </c>
      <c r="Q231" t="s">
        <v>45</v>
      </c>
      <c r="R231" t="s">
        <v>31</v>
      </c>
      <c r="S231" t="s">
        <v>1143</v>
      </c>
      <c r="T231" t="s">
        <v>1144</v>
      </c>
      <c r="U231" t="s">
        <v>47</v>
      </c>
      <c r="V231" s="4">
        <v>45638</v>
      </c>
      <c r="W231" t="s">
        <v>1648</v>
      </c>
      <c r="X231" t="s">
        <v>1650</v>
      </c>
      <c r="Y231" t="s">
        <v>35</v>
      </c>
      <c r="Z231" t="s">
        <v>36</v>
      </c>
      <c r="AB231" s="4"/>
      <c r="AC231" t="s">
        <v>1649</v>
      </c>
      <c r="AD231" t="s">
        <v>1651</v>
      </c>
      <c r="AE231" t="s">
        <v>37</v>
      </c>
    </row>
    <row r="232" spans="1:31" x14ac:dyDescent="0.3">
      <c r="A232" t="s">
        <v>1145</v>
      </c>
      <c r="B232" s="4">
        <v>45629</v>
      </c>
      <c r="C232" t="s">
        <v>1646</v>
      </c>
      <c r="D232" t="s">
        <v>1146</v>
      </c>
      <c r="E232" t="s">
        <v>26</v>
      </c>
      <c r="F232" t="s">
        <v>1147</v>
      </c>
      <c r="G232" t="s">
        <v>58</v>
      </c>
      <c r="H232" t="s">
        <v>1148</v>
      </c>
      <c r="I232">
        <v>2999</v>
      </c>
      <c r="J232">
        <v>1</v>
      </c>
      <c r="K232" t="s">
        <v>1647</v>
      </c>
      <c r="L232">
        <v>2999</v>
      </c>
      <c r="M232">
        <v>2999</v>
      </c>
      <c r="O232">
        <v>0</v>
      </c>
      <c r="P232">
        <v>0</v>
      </c>
      <c r="Q232" t="s">
        <v>30</v>
      </c>
      <c r="R232" t="s">
        <v>46</v>
      </c>
      <c r="S232" t="s">
        <v>1149</v>
      </c>
      <c r="T232" t="s">
        <v>1150</v>
      </c>
      <c r="U232" t="s">
        <v>47</v>
      </c>
      <c r="V232" s="4">
        <v>45640</v>
      </c>
      <c r="W232" t="s">
        <v>1648</v>
      </c>
      <c r="X232" t="s">
        <v>1650</v>
      </c>
      <c r="Y232" t="s">
        <v>35</v>
      </c>
      <c r="Z232" t="s">
        <v>49</v>
      </c>
      <c r="AA232" t="s">
        <v>75</v>
      </c>
      <c r="AB232" s="4">
        <v>45662</v>
      </c>
      <c r="AC232" t="s">
        <v>1652</v>
      </c>
      <c r="AD232" t="s">
        <v>1653</v>
      </c>
      <c r="AE232" t="s">
        <v>52</v>
      </c>
    </row>
    <row r="233" spans="1:31" x14ac:dyDescent="0.3">
      <c r="A233" t="s">
        <v>1151</v>
      </c>
      <c r="B233" s="4">
        <v>45629</v>
      </c>
      <c r="C233" t="s">
        <v>1646</v>
      </c>
      <c r="D233" t="s">
        <v>1152</v>
      </c>
      <c r="E233" t="s">
        <v>26</v>
      </c>
      <c r="F233" t="s">
        <v>1153</v>
      </c>
      <c r="G233" t="s">
        <v>67</v>
      </c>
      <c r="H233" t="s">
        <v>1154</v>
      </c>
      <c r="I233">
        <v>7999</v>
      </c>
      <c r="J233">
        <v>1</v>
      </c>
      <c r="K233" t="s">
        <v>1647</v>
      </c>
      <c r="L233">
        <v>7999</v>
      </c>
      <c r="M233">
        <v>6399.2</v>
      </c>
      <c r="N233" t="s">
        <v>1101</v>
      </c>
      <c r="O233">
        <v>20</v>
      </c>
      <c r="P233">
        <v>1599.8</v>
      </c>
      <c r="Q233" t="s">
        <v>128</v>
      </c>
      <c r="R233" t="s">
        <v>71</v>
      </c>
      <c r="S233" t="s">
        <v>1155</v>
      </c>
      <c r="T233" t="s">
        <v>1156</v>
      </c>
      <c r="U233" t="s">
        <v>47</v>
      </c>
      <c r="V233" s="4">
        <v>45640</v>
      </c>
      <c r="W233" t="s">
        <v>1648</v>
      </c>
      <c r="X233" t="s">
        <v>1650</v>
      </c>
      <c r="Y233" t="s">
        <v>35</v>
      </c>
      <c r="Z233" t="s">
        <v>36</v>
      </c>
      <c r="AB233" s="4"/>
      <c r="AC233" t="s">
        <v>1649</v>
      </c>
      <c r="AD233" t="s">
        <v>1651</v>
      </c>
      <c r="AE233" t="s">
        <v>37</v>
      </c>
    </row>
    <row r="234" spans="1:31" x14ac:dyDescent="0.3">
      <c r="A234" t="s">
        <v>1157</v>
      </c>
      <c r="B234" s="4">
        <v>45630</v>
      </c>
      <c r="C234" t="s">
        <v>1646</v>
      </c>
      <c r="D234" t="s">
        <v>1158</v>
      </c>
      <c r="E234" t="s">
        <v>40</v>
      </c>
      <c r="F234" t="s">
        <v>1159</v>
      </c>
      <c r="G234" t="s">
        <v>28</v>
      </c>
      <c r="H234" t="s">
        <v>1160</v>
      </c>
      <c r="I234">
        <v>1999</v>
      </c>
      <c r="J234">
        <v>1</v>
      </c>
      <c r="K234" t="s">
        <v>1647</v>
      </c>
      <c r="L234">
        <v>1999</v>
      </c>
      <c r="M234">
        <v>1999</v>
      </c>
      <c r="O234">
        <v>0</v>
      </c>
      <c r="P234">
        <v>0</v>
      </c>
      <c r="Q234" t="s">
        <v>45</v>
      </c>
      <c r="R234" t="s">
        <v>31</v>
      </c>
      <c r="S234" t="s">
        <v>1161</v>
      </c>
      <c r="T234" t="s">
        <v>73</v>
      </c>
      <c r="U234" t="s">
        <v>61</v>
      </c>
      <c r="V234" s="4">
        <v>45639</v>
      </c>
      <c r="W234" t="s">
        <v>1648</v>
      </c>
      <c r="X234" t="s">
        <v>1650</v>
      </c>
      <c r="Y234" t="s">
        <v>35</v>
      </c>
      <c r="Z234" t="s">
        <v>36</v>
      </c>
      <c r="AB234" s="4"/>
      <c r="AC234" t="s">
        <v>1649</v>
      </c>
      <c r="AD234" t="s">
        <v>1651</v>
      </c>
      <c r="AE234" t="s">
        <v>37</v>
      </c>
    </row>
    <row r="235" spans="1:31" x14ac:dyDescent="0.3">
      <c r="A235" t="s">
        <v>1162</v>
      </c>
      <c r="B235" s="4">
        <v>45630</v>
      </c>
      <c r="C235" t="s">
        <v>1646</v>
      </c>
      <c r="D235" t="s">
        <v>1163</v>
      </c>
      <c r="E235" t="s">
        <v>26</v>
      </c>
      <c r="F235" t="s">
        <v>1164</v>
      </c>
      <c r="G235" t="s">
        <v>79</v>
      </c>
      <c r="H235" t="s">
        <v>1165</v>
      </c>
      <c r="I235">
        <v>499</v>
      </c>
      <c r="J235">
        <v>2</v>
      </c>
      <c r="K235" t="s">
        <v>1647</v>
      </c>
      <c r="L235">
        <v>998</v>
      </c>
      <c r="M235">
        <v>798.4</v>
      </c>
      <c r="N235" t="s">
        <v>1101</v>
      </c>
      <c r="O235">
        <v>20</v>
      </c>
      <c r="P235">
        <v>199.6</v>
      </c>
      <c r="Q235" t="s">
        <v>60</v>
      </c>
      <c r="R235" t="s">
        <v>46</v>
      </c>
      <c r="S235" t="s">
        <v>1166</v>
      </c>
      <c r="T235" t="s">
        <v>209</v>
      </c>
      <c r="U235" t="s">
        <v>61</v>
      </c>
      <c r="V235" s="4">
        <v>45639</v>
      </c>
      <c r="W235" t="s">
        <v>1648</v>
      </c>
      <c r="X235" t="s">
        <v>1650</v>
      </c>
      <c r="Y235" t="s">
        <v>35</v>
      </c>
      <c r="Z235" t="s">
        <v>36</v>
      </c>
      <c r="AB235" s="4"/>
      <c r="AC235" t="s">
        <v>1649</v>
      </c>
      <c r="AD235" t="s">
        <v>1651</v>
      </c>
      <c r="AE235" t="s">
        <v>37</v>
      </c>
    </row>
    <row r="236" spans="1:31" x14ac:dyDescent="0.3">
      <c r="A236" t="s">
        <v>1167</v>
      </c>
      <c r="B236" s="4">
        <v>45630</v>
      </c>
      <c r="C236" t="s">
        <v>1646</v>
      </c>
      <c r="D236" t="s">
        <v>1168</v>
      </c>
      <c r="E236" t="s">
        <v>26</v>
      </c>
      <c r="F236" t="s">
        <v>1169</v>
      </c>
      <c r="G236" t="s">
        <v>42</v>
      </c>
      <c r="H236" t="s">
        <v>1170</v>
      </c>
      <c r="I236">
        <v>4999</v>
      </c>
      <c r="J236">
        <v>1</v>
      </c>
      <c r="K236" t="s">
        <v>1647</v>
      </c>
      <c r="L236">
        <v>4999</v>
      </c>
      <c r="M236">
        <v>4999</v>
      </c>
      <c r="O236">
        <v>0</v>
      </c>
      <c r="P236">
        <v>0</v>
      </c>
      <c r="Q236" t="s">
        <v>70</v>
      </c>
      <c r="R236" t="s">
        <v>71</v>
      </c>
      <c r="S236" t="s">
        <v>1171</v>
      </c>
      <c r="T236" t="s">
        <v>1171</v>
      </c>
      <c r="U236" t="s">
        <v>32</v>
      </c>
      <c r="V236" s="4">
        <v>45640</v>
      </c>
      <c r="W236" t="s">
        <v>1648</v>
      </c>
      <c r="X236" t="s">
        <v>1650</v>
      </c>
      <c r="Y236" t="s">
        <v>35</v>
      </c>
      <c r="Z236" t="s">
        <v>49</v>
      </c>
      <c r="AA236" t="s">
        <v>50</v>
      </c>
      <c r="AB236" s="4">
        <v>45663</v>
      </c>
      <c r="AC236" t="s">
        <v>1652</v>
      </c>
      <c r="AD236" t="s">
        <v>1653</v>
      </c>
      <c r="AE236" t="s">
        <v>52</v>
      </c>
    </row>
    <row r="237" spans="1:31" x14ac:dyDescent="0.3">
      <c r="A237" t="s">
        <v>1172</v>
      </c>
      <c r="B237" s="4">
        <v>45630</v>
      </c>
      <c r="C237" t="s">
        <v>1646</v>
      </c>
      <c r="D237" t="s">
        <v>1173</v>
      </c>
      <c r="E237" t="s">
        <v>26</v>
      </c>
      <c r="F237" t="s">
        <v>1174</v>
      </c>
      <c r="G237" t="s">
        <v>28</v>
      </c>
      <c r="H237" t="s">
        <v>1175</v>
      </c>
      <c r="I237">
        <v>2299</v>
      </c>
      <c r="J237">
        <v>1</v>
      </c>
      <c r="K237" t="s">
        <v>1647</v>
      </c>
      <c r="L237">
        <v>2299</v>
      </c>
      <c r="M237">
        <v>1839.2</v>
      </c>
      <c r="N237" t="s">
        <v>1101</v>
      </c>
      <c r="O237">
        <v>20</v>
      </c>
      <c r="P237">
        <v>459.8</v>
      </c>
      <c r="Q237" t="s">
        <v>30</v>
      </c>
      <c r="R237" t="s">
        <v>31</v>
      </c>
      <c r="S237" t="s">
        <v>32</v>
      </c>
      <c r="T237" t="s">
        <v>33</v>
      </c>
      <c r="U237" t="s">
        <v>32</v>
      </c>
      <c r="V237" s="4">
        <v>45639</v>
      </c>
      <c r="W237" t="s">
        <v>1648</v>
      </c>
      <c r="X237" t="s">
        <v>1650</v>
      </c>
      <c r="Y237" t="s">
        <v>35</v>
      </c>
      <c r="Z237" t="s">
        <v>36</v>
      </c>
      <c r="AB237" s="4"/>
      <c r="AC237" t="s">
        <v>1649</v>
      </c>
      <c r="AD237" t="s">
        <v>1651</v>
      </c>
      <c r="AE237" t="s">
        <v>37</v>
      </c>
    </row>
    <row r="238" spans="1:31" x14ac:dyDescent="0.3">
      <c r="A238" t="s">
        <v>1176</v>
      </c>
      <c r="B238" s="4">
        <v>45631</v>
      </c>
      <c r="C238" t="s">
        <v>1646</v>
      </c>
      <c r="D238" t="s">
        <v>1177</v>
      </c>
      <c r="E238" t="s">
        <v>26</v>
      </c>
      <c r="F238" t="s">
        <v>1178</v>
      </c>
      <c r="G238" t="s">
        <v>58</v>
      </c>
      <c r="H238" t="s">
        <v>866</v>
      </c>
      <c r="I238">
        <v>2599</v>
      </c>
      <c r="J238">
        <v>1</v>
      </c>
      <c r="K238" t="s">
        <v>1647</v>
      </c>
      <c r="L238">
        <v>2599</v>
      </c>
      <c r="M238">
        <v>2599</v>
      </c>
      <c r="O238">
        <v>0</v>
      </c>
      <c r="P238">
        <v>0</v>
      </c>
      <c r="Q238" t="s">
        <v>45</v>
      </c>
      <c r="R238" t="s">
        <v>46</v>
      </c>
      <c r="S238" t="s">
        <v>61</v>
      </c>
      <c r="T238" t="s">
        <v>62</v>
      </c>
      <c r="U238" t="s">
        <v>61</v>
      </c>
      <c r="V238" s="4">
        <v>45641</v>
      </c>
      <c r="W238" t="s">
        <v>1648</v>
      </c>
      <c r="X238" t="s">
        <v>1650</v>
      </c>
      <c r="Y238" t="s">
        <v>35</v>
      </c>
      <c r="Z238" t="s">
        <v>49</v>
      </c>
      <c r="AA238" t="s">
        <v>89</v>
      </c>
      <c r="AB238" s="4">
        <v>45665</v>
      </c>
      <c r="AC238" t="s">
        <v>1652</v>
      </c>
      <c r="AD238" t="s">
        <v>1653</v>
      </c>
      <c r="AE238" t="s">
        <v>52</v>
      </c>
    </row>
    <row r="239" spans="1:31" x14ac:dyDescent="0.3">
      <c r="A239" t="s">
        <v>1179</v>
      </c>
      <c r="B239" s="4">
        <v>45631</v>
      </c>
      <c r="C239" t="s">
        <v>1646</v>
      </c>
      <c r="D239" t="s">
        <v>1180</v>
      </c>
      <c r="E239" t="s">
        <v>40</v>
      </c>
      <c r="F239" t="s">
        <v>1181</v>
      </c>
      <c r="G239" t="s">
        <v>67</v>
      </c>
      <c r="H239" t="s">
        <v>1182</v>
      </c>
      <c r="I239">
        <v>8999</v>
      </c>
      <c r="J239">
        <v>1</v>
      </c>
      <c r="K239" t="s">
        <v>1647</v>
      </c>
      <c r="L239">
        <v>8999</v>
      </c>
      <c r="M239">
        <v>7199.2</v>
      </c>
      <c r="N239" t="s">
        <v>1101</v>
      </c>
      <c r="O239">
        <v>20</v>
      </c>
      <c r="P239">
        <v>1799.8</v>
      </c>
      <c r="Q239" t="s">
        <v>128</v>
      </c>
      <c r="R239" t="s">
        <v>71</v>
      </c>
      <c r="S239" t="s">
        <v>47</v>
      </c>
      <c r="T239" t="s">
        <v>47</v>
      </c>
      <c r="U239" t="s">
        <v>47</v>
      </c>
      <c r="V239" s="4">
        <v>45643</v>
      </c>
      <c r="W239" t="s">
        <v>1648</v>
      </c>
      <c r="X239" t="s">
        <v>1650</v>
      </c>
      <c r="Y239" t="s">
        <v>35</v>
      </c>
      <c r="Z239" t="s">
        <v>49</v>
      </c>
      <c r="AA239" t="s">
        <v>50</v>
      </c>
      <c r="AB239" s="4">
        <v>45667</v>
      </c>
      <c r="AC239" t="s">
        <v>1652</v>
      </c>
      <c r="AD239" t="s">
        <v>1653</v>
      </c>
      <c r="AE239" t="s">
        <v>121</v>
      </c>
    </row>
    <row r="240" spans="1:31" x14ac:dyDescent="0.3">
      <c r="A240" t="s">
        <v>1183</v>
      </c>
      <c r="B240" s="4">
        <v>45631</v>
      </c>
      <c r="C240" t="s">
        <v>1646</v>
      </c>
      <c r="D240" t="s">
        <v>1184</v>
      </c>
      <c r="E240" t="s">
        <v>26</v>
      </c>
      <c r="F240" t="s">
        <v>412</v>
      </c>
      <c r="G240" t="s">
        <v>79</v>
      </c>
      <c r="H240" t="s">
        <v>1185</v>
      </c>
      <c r="I240">
        <v>1799</v>
      </c>
      <c r="J240">
        <v>1</v>
      </c>
      <c r="K240" t="s">
        <v>1647</v>
      </c>
      <c r="L240">
        <v>1799</v>
      </c>
      <c r="M240">
        <v>1799</v>
      </c>
      <c r="O240">
        <v>0</v>
      </c>
      <c r="P240">
        <v>0</v>
      </c>
      <c r="Q240" t="s">
        <v>30</v>
      </c>
      <c r="R240" t="s">
        <v>31</v>
      </c>
      <c r="S240" t="s">
        <v>86</v>
      </c>
      <c r="T240" t="s">
        <v>87</v>
      </c>
      <c r="U240" t="s">
        <v>61</v>
      </c>
      <c r="V240" s="4">
        <v>45642</v>
      </c>
      <c r="W240" t="s">
        <v>1648</v>
      </c>
      <c r="X240" t="s">
        <v>1650</v>
      </c>
      <c r="Y240" t="s">
        <v>35</v>
      </c>
      <c r="Z240" t="s">
        <v>36</v>
      </c>
      <c r="AB240" s="4"/>
      <c r="AC240" t="s">
        <v>1649</v>
      </c>
      <c r="AD240" t="s">
        <v>1651</v>
      </c>
      <c r="AE240" t="s">
        <v>37</v>
      </c>
    </row>
    <row r="241" spans="1:31" x14ac:dyDescent="0.3">
      <c r="A241" t="s">
        <v>1186</v>
      </c>
      <c r="B241" s="4">
        <v>45631</v>
      </c>
      <c r="C241" t="s">
        <v>1646</v>
      </c>
      <c r="D241" t="s">
        <v>1187</v>
      </c>
      <c r="E241" t="s">
        <v>26</v>
      </c>
      <c r="F241" t="s">
        <v>1188</v>
      </c>
      <c r="G241" t="s">
        <v>28</v>
      </c>
      <c r="H241" t="s">
        <v>1189</v>
      </c>
      <c r="I241">
        <v>2199</v>
      </c>
      <c r="J241">
        <v>1</v>
      </c>
      <c r="K241" t="s">
        <v>1647</v>
      </c>
      <c r="L241">
        <v>2199</v>
      </c>
      <c r="M241">
        <v>2199</v>
      </c>
      <c r="O241">
        <v>0</v>
      </c>
      <c r="P241">
        <v>0</v>
      </c>
      <c r="Q241" t="s">
        <v>70</v>
      </c>
      <c r="R241" t="s">
        <v>46</v>
      </c>
      <c r="S241" t="s">
        <v>72</v>
      </c>
      <c r="T241" t="s">
        <v>73</v>
      </c>
      <c r="U241" t="s">
        <v>61</v>
      </c>
      <c r="V241" s="4">
        <v>45642</v>
      </c>
      <c r="W241" t="s">
        <v>1648</v>
      </c>
      <c r="X241" t="s">
        <v>1650</v>
      </c>
      <c r="Y241" t="s">
        <v>35</v>
      </c>
      <c r="Z241" t="s">
        <v>36</v>
      </c>
      <c r="AB241" s="4"/>
      <c r="AC241" t="s">
        <v>1649</v>
      </c>
      <c r="AD241" t="s">
        <v>1651</v>
      </c>
      <c r="AE241" t="s">
        <v>37</v>
      </c>
    </row>
    <row r="242" spans="1:31" x14ac:dyDescent="0.3">
      <c r="A242" t="s">
        <v>1190</v>
      </c>
      <c r="B242" s="4">
        <v>45632</v>
      </c>
      <c r="C242" t="s">
        <v>1646</v>
      </c>
      <c r="D242" t="s">
        <v>1191</v>
      </c>
      <c r="E242" t="s">
        <v>26</v>
      </c>
      <c r="F242" t="s">
        <v>1192</v>
      </c>
      <c r="G242" t="s">
        <v>42</v>
      </c>
      <c r="H242" t="s">
        <v>1193</v>
      </c>
      <c r="I242">
        <v>3799</v>
      </c>
      <c r="J242">
        <v>1</v>
      </c>
      <c r="K242" t="s">
        <v>1647</v>
      </c>
      <c r="L242">
        <v>3799</v>
      </c>
      <c r="M242">
        <v>3039.2</v>
      </c>
      <c r="N242" t="s">
        <v>1101</v>
      </c>
      <c r="O242">
        <v>20</v>
      </c>
      <c r="P242">
        <v>759.8</v>
      </c>
      <c r="Q242" t="s">
        <v>60</v>
      </c>
      <c r="R242" t="s">
        <v>71</v>
      </c>
      <c r="S242" t="s">
        <v>95</v>
      </c>
      <c r="T242" t="s">
        <v>33</v>
      </c>
      <c r="U242" t="s">
        <v>32</v>
      </c>
      <c r="V242" s="4">
        <v>45644</v>
      </c>
      <c r="W242" t="s">
        <v>1648</v>
      </c>
      <c r="X242" t="s">
        <v>1650</v>
      </c>
      <c r="Y242" t="s">
        <v>35</v>
      </c>
      <c r="Z242" t="s">
        <v>49</v>
      </c>
      <c r="AA242" t="s">
        <v>75</v>
      </c>
      <c r="AB242" s="4">
        <v>45669</v>
      </c>
      <c r="AC242" t="s">
        <v>1652</v>
      </c>
      <c r="AD242" t="s">
        <v>1653</v>
      </c>
      <c r="AE242" t="s">
        <v>52</v>
      </c>
    </row>
    <row r="243" spans="1:31" x14ac:dyDescent="0.3">
      <c r="A243" t="s">
        <v>1194</v>
      </c>
      <c r="B243" s="4">
        <v>45632</v>
      </c>
      <c r="C243" t="s">
        <v>1646</v>
      </c>
      <c r="D243" t="s">
        <v>1195</v>
      </c>
      <c r="E243" t="s">
        <v>26</v>
      </c>
      <c r="F243" t="s">
        <v>1196</v>
      </c>
      <c r="G243" t="s">
        <v>58</v>
      </c>
      <c r="H243" t="s">
        <v>1197</v>
      </c>
      <c r="I243">
        <v>2899</v>
      </c>
      <c r="J243">
        <v>1</v>
      </c>
      <c r="K243" t="s">
        <v>1647</v>
      </c>
      <c r="L243">
        <v>2899</v>
      </c>
      <c r="M243">
        <v>2899</v>
      </c>
      <c r="O243">
        <v>0</v>
      </c>
      <c r="P243">
        <v>0</v>
      </c>
      <c r="Q243" t="s">
        <v>45</v>
      </c>
      <c r="R243" t="s">
        <v>31</v>
      </c>
      <c r="S243" t="s">
        <v>101</v>
      </c>
      <c r="T243" t="s">
        <v>102</v>
      </c>
      <c r="U243" t="s">
        <v>47</v>
      </c>
      <c r="V243" s="4">
        <v>45644</v>
      </c>
      <c r="W243" t="s">
        <v>1648</v>
      </c>
      <c r="X243" t="s">
        <v>1650</v>
      </c>
      <c r="Y243" t="s">
        <v>35</v>
      </c>
      <c r="Z243" t="s">
        <v>36</v>
      </c>
      <c r="AB243" s="4"/>
      <c r="AC243" t="s">
        <v>1649</v>
      </c>
      <c r="AD243" t="s">
        <v>1651</v>
      </c>
      <c r="AE243" t="s">
        <v>37</v>
      </c>
    </row>
    <row r="244" spans="1:31" x14ac:dyDescent="0.3">
      <c r="A244" t="s">
        <v>1198</v>
      </c>
      <c r="B244" s="4">
        <v>45632</v>
      </c>
      <c r="C244" t="s">
        <v>1646</v>
      </c>
      <c r="D244" t="s">
        <v>1199</v>
      </c>
      <c r="E244" t="s">
        <v>40</v>
      </c>
      <c r="F244" t="s">
        <v>562</v>
      </c>
      <c r="G244" t="s">
        <v>67</v>
      </c>
      <c r="H244" t="s">
        <v>1200</v>
      </c>
      <c r="I244">
        <v>4599</v>
      </c>
      <c r="J244">
        <v>1</v>
      </c>
      <c r="K244" t="s">
        <v>1647</v>
      </c>
      <c r="L244">
        <v>4599</v>
      </c>
      <c r="M244">
        <v>3679.2</v>
      </c>
      <c r="N244" t="s">
        <v>1101</v>
      </c>
      <c r="O244">
        <v>20</v>
      </c>
      <c r="P244">
        <v>919.8</v>
      </c>
      <c r="Q244" t="s">
        <v>30</v>
      </c>
      <c r="R244" t="s">
        <v>46</v>
      </c>
      <c r="S244" t="s">
        <v>116</v>
      </c>
      <c r="T244" t="s">
        <v>117</v>
      </c>
      <c r="U244" t="s">
        <v>47</v>
      </c>
      <c r="V244" s="4">
        <v>45645</v>
      </c>
      <c r="W244" t="s">
        <v>1648</v>
      </c>
      <c r="X244" t="s">
        <v>1650</v>
      </c>
      <c r="Y244" t="s">
        <v>35</v>
      </c>
      <c r="Z244" t="s">
        <v>49</v>
      </c>
      <c r="AA244" t="s">
        <v>50</v>
      </c>
      <c r="AB244" s="4">
        <v>45671</v>
      </c>
      <c r="AC244" t="s">
        <v>1652</v>
      </c>
      <c r="AD244" t="s">
        <v>1653</v>
      </c>
      <c r="AE244" t="s">
        <v>52</v>
      </c>
    </row>
    <row r="245" spans="1:31" x14ac:dyDescent="0.3">
      <c r="A245" t="s">
        <v>1201</v>
      </c>
      <c r="B245" s="4">
        <v>45632</v>
      </c>
      <c r="C245" t="s">
        <v>1646</v>
      </c>
      <c r="D245" t="s">
        <v>1202</v>
      </c>
      <c r="E245" t="s">
        <v>26</v>
      </c>
      <c r="F245" t="s">
        <v>1203</v>
      </c>
      <c r="G245" t="s">
        <v>79</v>
      </c>
      <c r="H245" t="s">
        <v>1204</v>
      </c>
      <c r="I245">
        <v>2499</v>
      </c>
      <c r="J245">
        <v>1</v>
      </c>
      <c r="K245" t="s">
        <v>1647</v>
      </c>
      <c r="L245">
        <v>2499</v>
      </c>
      <c r="M245">
        <v>2499</v>
      </c>
      <c r="O245">
        <v>0</v>
      </c>
      <c r="P245">
        <v>0</v>
      </c>
      <c r="Q245" t="s">
        <v>128</v>
      </c>
      <c r="R245" t="s">
        <v>71</v>
      </c>
      <c r="S245" t="s">
        <v>129</v>
      </c>
      <c r="T245" t="s">
        <v>130</v>
      </c>
      <c r="U245" t="s">
        <v>47</v>
      </c>
      <c r="V245" s="4">
        <v>45645</v>
      </c>
      <c r="W245" t="s">
        <v>1648</v>
      </c>
      <c r="X245" t="s">
        <v>1650</v>
      </c>
      <c r="Y245" t="s">
        <v>35</v>
      </c>
      <c r="Z245" t="s">
        <v>36</v>
      </c>
      <c r="AB245" s="4"/>
      <c r="AC245" t="s">
        <v>1649</v>
      </c>
      <c r="AD245" t="s">
        <v>1651</v>
      </c>
      <c r="AE245" t="s">
        <v>37</v>
      </c>
    </row>
    <row r="246" spans="1:31" x14ac:dyDescent="0.3">
      <c r="A246" t="s">
        <v>1205</v>
      </c>
      <c r="B246" s="4">
        <v>45633</v>
      </c>
      <c r="C246" t="s">
        <v>1646</v>
      </c>
      <c r="D246" t="s">
        <v>1206</v>
      </c>
      <c r="E246" t="s">
        <v>26</v>
      </c>
      <c r="F246" t="s">
        <v>1207</v>
      </c>
      <c r="G246" t="s">
        <v>28</v>
      </c>
      <c r="H246" t="s">
        <v>1208</v>
      </c>
      <c r="I246">
        <v>1899</v>
      </c>
      <c r="J246">
        <v>1</v>
      </c>
      <c r="K246" t="s">
        <v>1647</v>
      </c>
      <c r="L246">
        <v>1899</v>
      </c>
      <c r="M246">
        <v>1899</v>
      </c>
      <c r="O246">
        <v>0</v>
      </c>
      <c r="P246">
        <v>0</v>
      </c>
      <c r="Q246" t="s">
        <v>70</v>
      </c>
      <c r="R246" t="s">
        <v>31</v>
      </c>
      <c r="S246" t="s">
        <v>1171</v>
      </c>
      <c r="T246" t="s">
        <v>1171</v>
      </c>
      <c r="U246" t="s">
        <v>32</v>
      </c>
      <c r="V246" s="4"/>
      <c r="W246" t="s">
        <v>1656</v>
      </c>
      <c r="X246" t="s">
        <v>1657</v>
      </c>
      <c r="Y246" t="s">
        <v>137</v>
      </c>
      <c r="Z246" t="s">
        <v>36</v>
      </c>
      <c r="AB246" s="4"/>
      <c r="AC246" t="s">
        <v>1656</v>
      </c>
      <c r="AD246" t="s">
        <v>1651</v>
      </c>
      <c r="AE246" t="s">
        <v>37</v>
      </c>
    </row>
    <row r="247" spans="1:31" x14ac:dyDescent="0.3">
      <c r="A247" t="s">
        <v>1209</v>
      </c>
      <c r="B247" s="4">
        <v>45633</v>
      </c>
      <c r="C247" t="s">
        <v>1646</v>
      </c>
      <c r="D247" t="s">
        <v>1210</v>
      </c>
      <c r="E247" t="s">
        <v>26</v>
      </c>
      <c r="F247" t="s">
        <v>1211</v>
      </c>
      <c r="G247" t="s">
        <v>42</v>
      </c>
      <c r="H247" t="s">
        <v>1038</v>
      </c>
      <c r="I247">
        <v>3299</v>
      </c>
      <c r="J247">
        <v>1</v>
      </c>
      <c r="K247" t="s">
        <v>1647</v>
      </c>
      <c r="L247">
        <v>3299</v>
      </c>
      <c r="M247">
        <v>2639.2</v>
      </c>
      <c r="N247" t="s">
        <v>1101</v>
      </c>
      <c r="O247">
        <v>20</v>
      </c>
      <c r="P247">
        <v>659.8</v>
      </c>
      <c r="Q247" t="s">
        <v>45</v>
      </c>
      <c r="R247" t="s">
        <v>46</v>
      </c>
      <c r="S247" t="s">
        <v>32</v>
      </c>
      <c r="T247" t="s">
        <v>33</v>
      </c>
      <c r="U247" t="s">
        <v>32</v>
      </c>
      <c r="V247" s="4">
        <v>45646</v>
      </c>
      <c r="W247" t="s">
        <v>1648</v>
      </c>
      <c r="X247" t="s">
        <v>1650</v>
      </c>
      <c r="Y247" t="s">
        <v>35</v>
      </c>
      <c r="Z247" t="s">
        <v>36</v>
      </c>
      <c r="AB247" s="4"/>
      <c r="AC247" t="s">
        <v>1649</v>
      </c>
      <c r="AD247" t="s">
        <v>1651</v>
      </c>
      <c r="AE247" t="s">
        <v>37</v>
      </c>
    </row>
    <row r="248" spans="1:31" x14ac:dyDescent="0.3">
      <c r="A248" t="s">
        <v>1212</v>
      </c>
      <c r="B248" s="4">
        <v>45633</v>
      </c>
      <c r="C248" t="s">
        <v>1646</v>
      </c>
      <c r="D248" t="s">
        <v>1213</v>
      </c>
      <c r="E248" t="s">
        <v>26</v>
      </c>
      <c r="F248" t="s">
        <v>1214</v>
      </c>
      <c r="G248" t="s">
        <v>58</v>
      </c>
      <c r="H248" t="s">
        <v>1042</v>
      </c>
      <c r="I248">
        <v>2199</v>
      </c>
      <c r="J248">
        <v>1</v>
      </c>
      <c r="K248" t="s">
        <v>1647</v>
      </c>
      <c r="L248">
        <v>2199</v>
      </c>
      <c r="M248">
        <v>2199</v>
      </c>
      <c r="O248">
        <v>0</v>
      </c>
      <c r="P248">
        <v>0</v>
      </c>
      <c r="Q248" t="s">
        <v>60</v>
      </c>
      <c r="R248" t="s">
        <v>71</v>
      </c>
      <c r="S248" t="s">
        <v>47</v>
      </c>
      <c r="T248" t="s">
        <v>47</v>
      </c>
      <c r="U248" t="s">
        <v>47</v>
      </c>
      <c r="V248" s="4">
        <v>45647</v>
      </c>
      <c r="W248" t="s">
        <v>1648</v>
      </c>
      <c r="X248" t="s">
        <v>1650</v>
      </c>
      <c r="Y248" t="s">
        <v>35</v>
      </c>
      <c r="Z248" t="s">
        <v>49</v>
      </c>
      <c r="AA248" t="s">
        <v>158</v>
      </c>
      <c r="AB248" s="4">
        <v>45672</v>
      </c>
      <c r="AC248" t="s">
        <v>1652</v>
      </c>
      <c r="AD248" t="s">
        <v>1653</v>
      </c>
      <c r="AE248" t="s">
        <v>121</v>
      </c>
    </row>
    <row r="249" spans="1:31" x14ac:dyDescent="0.3">
      <c r="A249" t="s">
        <v>1216</v>
      </c>
      <c r="B249" s="4">
        <v>45633</v>
      </c>
      <c r="C249" t="s">
        <v>1646</v>
      </c>
      <c r="D249" t="s">
        <v>1217</v>
      </c>
      <c r="E249" t="s">
        <v>40</v>
      </c>
      <c r="F249" t="s">
        <v>1218</v>
      </c>
      <c r="G249" t="s">
        <v>67</v>
      </c>
      <c r="H249" t="s">
        <v>1219</v>
      </c>
      <c r="I249">
        <v>5499</v>
      </c>
      <c r="J249">
        <v>1</v>
      </c>
      <c r="K249" t="s">
        <v>1647</v>
      </c>
      <c r="L249">
        <v>5499</v>
      </c>
      <c r="M249">
        <v>4399.2</v>
      </c>
      <c r="N249" t="s">
        <v>1101</v>
      </c>
      <c r="O249">
        <v>20</v>
      </c>
      <c r="P249">
        <v>1099.8</v>
      </c>
      <c r="Q249" t="s">
        <v>30</v>
      </c>
      <c r="R249" t="s">
        <v>31</v>
      </c>
      <c r="S249" t="s">
        <v>61</v>
      </c>
      <c r="T249" t="s">
        <v>62</v>
      </c>
      <c r="U249" t="s">
        <v>61</v>
      </c>
      <c r="V249" s="4">
        <v>45647</v>
      </c>
      <c r="W249" t="s">
        <v>1648</v>
      </c>
      <c r="X249" t="s">
        <v>1650</v>
      </c>
      <c r="Y249" t="s">
        <v>35</v>
      </c>
      <c r="Z249" t="s">
        <v>36</v>
      </c>
      <c r="AB249" s="4"/>
      <c r="AC249" t="s">
        <v>1649</v>
      </c>
      <c r="AD249" t="s">
        <v>1651</v>
      </c>
      <c r="AE249" t="s">
        <v>37</v>
      </c>
    </row>
    <row r="250" spans="1:31" x14ac:dyDescent="0.3">
      <c r="A250" t="s">
        <v>1220</v>
      </c>
      <c r="B250" s="4">
        <v>45634</v>
      </c>
      <c r="C250" t="s">
        <v>1646</v>
      </c>
      <c r="D250" t="s">
        <v>1221</v>
      </c>
      <c r="E250" t="s">
        <v>26</v>
      </c>
      <c r="F250" t="s">
        <v>1222</v>
      </c>
      <c r="G250" t="s">
        <v>79</v>
      </c>
      <c r="H250" t="s">
        <v>1223</v>
      </c>
      <c r="I250">
        <v>999</v>
      </c>
      <c r="J250">
        <v>1</v>
      </c>
      <c r="K250" t="s">
        <v>1647</v>
      </c>
      <c r="L250">
        <v>999</v>
      </c>
      <c r="M250">
        <v>999</v>
      </c>
      <c r="O250">
        <v>0</v>
      </c>
      <c r="P250">
        <v>0</v>
      </c>
      <c r="Q250" t="s">
        <v>128</v>
      </c>
      <c r="R250" t="s">
        <v>46</v>
      </c>
      <c r="S250" t="s">
        <v>108</v>
      </c>
      <c r="T250" t="s">
        <v>109</v>
      </c>
      <c r="U250" t="s">
        <v>32</v>
      </c>
      <c r="V250" s="4">
        <v>45648</v>
      </c>
      <c r="W250" t="s">
        <v>1648</v>
      </c>
      <c r="X250" t="s">
        <v>1650</v>
      </c>
      <c r="Y250" t="s">
        <v>35</v>
      </c>
      <c r="Z250" t="s">
        <v>36</v>
      </c>
      <c r="AB250" s="4"/>
      <c r="AC250" t="s">
        <v>1649</v>
      </c>
      <c r="AD250" t="s">
        <v>1651</v>
      </c>
      <c r="AE250" t="s">
        <v>37</v>
      </c>
    </row>
    <row r="251" spans="1:31" x14ac:dyDescent="0.3">
      <c r="A251" t="s">
        <v>1224</v>
      </c>
      <c r="B251" s="4">
        <v>45634</v>
      </c>
      <c r="C251" t="s">
        <v>1646</v>
      </c>
      <c r="D251" t="s">
        <v>1225</v>
      </c>
      <c r="E251" t="s">
        <v>26</v>
      </c>
      <c r="F251" t="s">
        <v>293</v>
      </c>
      <c r="G251" t="s">
        <v>28</v>
      </c>
      <c r="H251" t="s">
        <v>294</v>
      </c>
      <c r="I251">
        <v>1699</v>
      </c>
      <c r="J251">
        <v>2</v>
      </c>
      <c r="K251" t="s">
        <v>1647</v>
      </c>
      <c r="L251">
        <v>3398</v>
      </c>
      <c r="M251">
        <v>3398</v>
      </c>
      <c r="O251">
        <v>0</v>
      </c>
      <c r="P251">
        <v>0</v>
      </c>
      <c r="Q251" t="s">
        <v>70</v>
      </c>
      <c r="R251" t="s">
        <v>71</v>
      </c>
      <c r="S251" t="s">
        <v>177</v>
      </c>
      <c r="T251" t="s">
        <v>109</v>
      </c>
      <c r="U251" t="s">
        <v>32</v>
      </c>
      <c r="V251" s="4">
        <v>45648</v>
      </c>
      <c r="W251" t="s">
        <v>1648</v>
      </c>
      <c r="X251" t="s">
        <v>1650</v>
      </c>
      <c r="Y251" t="s">
        <v>35</v>
      </c>
      <c r="Z251" t="s">
        <v>49</v>
      </c>
      <c r="AA251" t="s">
        <v>50</v>
      </c>
      <c r="AB251" s="4">
        <v>45673</v>
      </c>
      <c r="AC251" t="s">
        <v>1652</v>
      </c>
      <c r="AD251" t="s">
        <v>1653</v>
      </c>
      <c r="AE251" t="s">
        <v>52</v>
      </c>
    </row>
    <row r="252" spans="1:31" x14ac:dyDescent="0.3">
      <c r="A252" t="s">
        <v>1226</v>
      </c>
      <c r="B252" s="4">
        <v>45634</v>
      </c>
      <c r="C252" t="s">
        <v>1646</v>
      </c>
      <c r="D252" t="s">
        <v>1227</v>
      </c>
      <c r="E252" t="s">
        <v>26</v>
      </c>
      <c r="F252" t="s">
        <v>1228</v>
      </c>
      <c r="G252" t="s">
        <v>42</v>
      </c>
      <c r="H252" t="s">
        <v>1229</v>
      </c>
      <c r="I252">
        <v>2799</v>
      </c>
      <c r="J252">
        <v>1</v>
      </c>
      <c r="K252" t="s">
        <v>1647</v>
      </c>
      <c r="L252">
        <v>2799</v>
      </c>
      <c r="M252">
        <v>2239.1999999999998</v>
      </c>
      <c r="N252" t="s">
        <v>1101</v>
      </c>
      <c r="O252">
        <v>20</v>
      </c>
      <c r="P252">
        <v>559.79999999999995</v>
      </c>
      <c r="Q252" t="s">
        <v>45</v>
      </c>
      <c r="R252" t="s">
        <v>31</v>
      </c>
      <c r="S252" t="s">
        <v>233</v>
      </c>
      <c r="T252" t="s">
        <v>109</v>
      </c>
      <c r="U252" t="s">
        <v>32</v>
      </c>
      <c r="V252" s="4">
        <v>45649</v>
      </c>
      <c r="W252" t="s">
        <v>1648</v>
      </c>
      <c r="X252" t="s">
        <v>1650</v>
      </c>
      <c r="Y252" t="s">
        <v>35</v>
      </c>
      <c r="Z252" t="s">
        <v>49</v>
      </c>
      <c r="AA252" t="s">
        <v>119</v>
      </c>
      <c r="AB252" s="4">
        <v>45675</v>
      </c>
      <c r="AC252" t="s">
        <v>1652</v>
      </c>
      <c r="AD252" t="s">
        <v>1653</v>
      </c>
      <c r="AE252" t="s">
        <v>52</v>
      </c>
    </row>
    <row r="253" spans="1:31" x14ac:dyDescent="0.3">
      <c r="A253" t="s">
        <v>1231</v>
      </c>
      <c r="B253" s="4">
        <v>45634</v>
      </c>
      <c r="C253" t="s">
        <v>1646</v>
      </c>
      <c r="D253" t="s">
        <v>1232</v>
      </c>
      <c r="E253" t="s">
        <v>26</v>
      </c>
      <c r="F253" t="s">
        <v>1233</v>
      </c>
      <c r="G253" t="s">
        <v>58</v>
      </c>
      <c r="H253" t="s">
        <v>350</v>
      </c>
      <c r="I253">
        <v>2299</v>
      </c>
      <c r="J253">
        <v>1</v>
      </c>
      <c r="K253" t="s">
        <v>1647</v>
      </c>
      <c r="L253">
        <v>2299</v>
      </c>
      <c r="M253">
        <v>2299</v>
      </c>
      <c r="O253">
        <v>0</v>
      </c>
      <c r="P253">
        <v>0</v>
      </c>
      <c r="Q253" t="s">
        <v>30</v>
      </c>
      <c r="R253" t="s">
        <v>46</v>
      </c>
      <c r="S253" t="s">
        <v>238</v>
      </c>
      <c r="T253" t="s">
        <v>109</v>
      </c>
      <c r="U253" t="s">
        <v>32</v>
      </c>
      <c r="V253" s="4">
        <v>45649</v>
      </c>
      <c r="W253" t="s">
        <v>1648</v>
      </c>
      <c r="X253" t="s">
        <v>1650</v>
      </c>
      <c r="Y253" t="s">
        <v>35</v>
      </c>
      <c r="Z253" t="s">
        <v>36</v>
      </c>
      <c r="AB253" s="4"/>
      <c r="AC253" t="s">
        <v>1649</v>
      </c>
      <c r="AD253" t="s">
        <v>1651</v>
      </c>
      <c r="AE253" t="s">
        <v>37</v>
      </c>
    </row>
    <row r="254" spans="1:31" x14ac:dyDescent="0.3">
      <c r="A254" t="s">
        <v>1234</v>
      </c>
      <c r="B254" s="4">
        <v>45635</v>
      </c>
      <c r="C254" t="s">
        <v>1646</v>
      </c>
      <c r="D254" t="s">
        <v>1235</v>
      </c>
      <c r="E254" t="s">
        <v>40</v>
      </c>
      <c r="F254" t="s">
        <v>1236</v>
      </c>
      <c r="G254" t="s">
        <v>67</v>
      </c>
      <c r="H254" t="s">
        <v>1237</v>
      </c>
      <c r="I254">
        <v>5999</v>
      </c>
      <c r="J254">
        <v>1</v>
      </c>
      <c r="K254" t="s">
        <v>1647</v>
      </c>
      <c r="L254">
        <v>5999</v>
      </c>
      <c r="M254">
        <v>5999</v>
      </c>
      <c r="O254">
        <v>0</v>
      </c>
      <c r="P254">
        <v>0</v>
      </c>
      <c r="Q254" t="s">
        <v>60</v>
      </c>
      <c r="R254" t="s">
        <v>71</v>
      </c>
      <c r="S254" t="s">
        <v>243</v>
      </c>
      <c r="T254" t="s">
        <v>130</v>
      </c>
      <c r="U254" t="s">
        <v>47</v>
      </c>
      <c r="V254" s="4">
        <v>45650</v>
      </c>
      <c r="W254" t="s">
        <v>1648</v>
      </c>
      <c r="X254" t="s">
        <v>1650</v>
      </c>
      <c r="Y254" t="s">
        <v>35</v>
      </c>
      <c r="Z254" t="s">
        <v>49</v>
      </c>
      <c r="AA254" t="s">
        <v>89</v>
      </c>
      <c r="AB254" s="4">
        <v>45677</v>
      </c>
      <c r="AC254" t="s">
        <v>1652</v>
      </c>
      <c r="AD254" t="s">
        <v>1653</v>
      </c>
      <c r="AE254" t="s">
        <v>52</v>
      </c>
    </row>
    <row r="255" spans="1:31" x14ac:dyDescent="0.3">
      <c r="A255" t="s">
        <v>1239</v>
      </c>
      <c r="B255" s="4">
        <v>45635</v>
      </c>
      <c r="C255" t="s">
        <v>1646</v>
      </c>
      <c r="D255" t="s">
        <v>1240</v>
      </c>
      <c r="E255" t="s">
        <v>26</v>
      </c>
      <c r="F255" t="s">
        <v>1241</v>
      </c>
      <c r="G255" t="s">
        <v>79</v>
      </c>
      <c r="H255" t="s">
        <v>1242</v>
      </c>
      <c r="I255">
        <v>899</v>
      </c>
      <c r="J255">
        <v>2</v>
      </c>
      <c r="K255" t="s">
        <v>1647</v>
      </c>
      <c r="L255">
        <v>1798</v>
      </c>
      <c r="M255">
        <v>1438.4</v>
      </c>
      <c r="N255" t="s">
        <v>1101</v>
      </c>
      <c r="O255">
        <v>20</v>
      </c>
      <c r="P255">
        <v>359.6</v>
      </c>
      <c r="Q255" t="s">
        <v>128</v>
      </c>
      <c r="R255" t="s">
        <v>31</v>
      </c>
      <c r="S255" t="s">
        <v>32</v>
      </c>
      <c r="T255" t="s">
        <v>33</v>
      </c>
      <c r="U255" t="s">
        <v>32</v>
      </c>
      <c r="V255" s="4">
        <v>45649</v>
      </c>
      <c r="W255" t="s">
        <v>1648</v>
      </c>
      <c r="X255" t="s">
        <v>1650</v>
      </c>
      <c r="Y255" t="s">
        <v>35</v>
      </c>
      <c r="Z255" t="s">
        <v>36</v>
      </c>
      <c r="AB255" s="4"/>
      <c r="AC255" t="s">
        <v>1649</v>
      </c>
      <c r="AD255" t="s">
        <v>1651</v>
      </c>
      <c r="AE255" t="s">
        <v>37</v>
      </c>
    </row>
    <row r="256" spans="1:31" x14ac:dyDescent="0.3">
      <c r="A256" t="s">
        <v>1243</v>
      </c>
      <c r="B256" s="4">
        <v>45635</v>
      </c>
      <c r="C256" t="s">
        <v>1646</v>
      </c>
      <c r="D256" t="s">
        <v>1244</v>
      </c>
      <c r="E256" t="s">
        <v>26</v>
      </c>
      <c r="F256" t="s">
        <v>1245</v>
      </c>
      <c r="G256" t="s">
        <v>28</v>
      </c>
      <c r="H256" t="s">
        <v>1246</v>
      </c>
      <c r="I256">
        <v>2099</v>
      </c>
      <c r="J256">
        <v>1</v>
      </c>
      <c r="K256" t="s">
        <v>1647</v>
      </c>
      <c r="L256">
        <v>2099</v>
      </c>
      <c r="M256">
        <v>2099</v>
      </c>
      <c r="O256">
        <v>0</v>
      </c>
      <c r="P256">
        <v>0</v>
      </c>
      <c r="Q256" t="s">
        <v>70</v>
      </c>
      <c r="R256" t="s">
        <v>46</v>
      </c>
      <c r="S256" t="s">
        <v>47</v>
      </c>
      <c r="T256" t="s">
        <v>47</v>
      </c>
      <c r="U256" t="s">
        <v>47</v>
      </c>
      <c r="V256" s="4">
        <v>45650</v>
      </c>
      <c r="W256" t="s">
        <v>1648</v>
      </c>
      <c r="X256" t="s">
        <v>1650</v>
      </c>
      <c r="Y256" t="s">
        <v>35</v>
      </c>
      <c r="Z256" t="s">
        <v>49</v>
      </c>
      <c r="AA256" t="s">
        <v>75</v>
      </c>
      <c r="AB256" s="4">
        <v>45676</v>
      </c>
      <c r="AC256" t="s">
        <v>1652</v>
      </c>
      <c r="AD256" t="s">
        <v>1653</v>
      </c>
      <c r="AE256" t="s">
        <v>52</v>
      </c>
    </row>
    <row r="257" spans="1:31" x14ac:dyDescent="0.3">
      <c r="A257" t="s">
        <v>1248</v>
      </c>
      <c r="B257" s="4">
        <v>45636</v>
      </c>
      <c r="C257" t="s">
        <v>1646</v>
      </c>
      <c r="D257" t="s">
        <v>1249</v>
      </c>
      <c r="E257" t="s">
        <v>26</v>
      </c>
      <c r="F257" t="s">
        <v>1250</v>
      </c>
      <c r="G257" t="s">
        <v>42</v>
      </c>
      <c r="H257" t="s">
        <v>1251</v>
      </c>
      <c r="I257">
        <v>3999</v>
      </c>
      <c r="J257">
        <v>1</v>
      </c>
      <c r="K257" t="s">
        <v>1647</v>
      </c>
      <c r="L257">
        <v>3999</v>
      </c>
      <c r="M257">
        <v>3999</v>
      </c>
      <c r="O257">
        <v>0</v>
      </c>
      <c r="P257">
        <v>0</v>
      </c>
      <c r="Q257" t="s">
        <v>45</v>
      </c>
      <c r="R257" t="s">
        <v>71</v>
      </c>
      <c r="S257" t="s">
        <v>135</v>
      </c>
      <c r="T257" t="s">
        <v>136</v>
      </c>
      <c r="U257" t="s">
        <v>47</v>
      </c>
      <c r="V257" s="4">
        <v>45651</v>
      </c>
      <c r="W257" t="s">
        <v>1648</v>
      </c>
      <c r="X257" t="s">
        <v>1650</v>
      </c>
      <c r="Y257" t="s">
        <v>35</v>
      </c>
      <c r="Z257" t="s">
        <v>49</v>
      </c>
      <c r="AA257" t="s">
        <v>50</v>
      </c>
      <c r="AB257" s="4">
        <v>45679</v>
      </c>
      <c r="AC257" t="s">
        <v>1652</v>
      </c>
      <c r="AD257" t="s">
        <v>1653</v>
      </c>
      <c r="AE257" t="s">
        <v>52</v>
      </c>
    </row>
    <row r="258" spans="1:31" x14ac:dyDescent="0.3">
      <c r="A258" t="s">
        <v>1253</v>
      </c>
      <c r="B258" s="4">
        <v>45636</v>
      </c>
      <c r="C258" t="s">
        <v>1646</v>
      </c>
      <c r="D258" t="s">
        <v>1254</v>
      </c>
      <c r="E258" t="s">
        <v>26</v>
      </c>
      <c r="F258" t="s">
        <v>1255</v>
      </c>
      <c r="G258" t="s">
        <v>58</v>
      </c>
      <c r="H258" t="s">
        <v>1256</v>
      </c>
      <c r="I258">
        <v>2499</v>
      </c>
      <c r="J258">
        <v>1</v>
      </c>
      <c r="K258" t="s">
        <v>1647</v>
      </c>
      <c r="L258">
        <v>2499</v>
      </c>
      <c r="M258">
        <v>1999.2</v>
      </c>
      <c r="N258" t="s">
        <v>1101</v>
      </c>
      <c r="O258">
        <v>20</v>
      </c>
      <c r="P258">
        <v>499.8</v>
      </c>
      <c r="Q258" t="s">
        <v>30</v>
      </c>
      <c r="R258" t="s">
        <v>31</v>
      </c>
      <c r="S258" t="s">
        <v>156</v>
      </c>
      <c r="T258" t="s">
        <v>130</v>
      </c>
      <c r="U258" t="s">
        <v>47</v>
      </c>
      <c r="V258" s="4">
        <v>45651</v>
      </c>
      <c r="W258" t="s">
        <v>1648</v>
      </c>
      <c r="X258" t="s">
        <v>1650</v>
      </c>
      <c r="Y258" t="s">
        <v>35</v>
      </c>
      <c r="Z258" t="s">
        <v>36</v>
      </c>
      <c r="AB258" s="4"/>
      <c r="AC258" t="s">
        <v>1649</v>
      </c>
      <c r="AD258" t="s">
        <v>1651</v>
      </c>
      <c r="AE258" t="s">
        <v>37</v>
      </c>
    </row>
    <row r="259" spans="1:31" x14ac:dyDescent="0.3">
      <c r="A259" t="s">
        <v>1257</v>
      </c>
      <c r="B259" s="4">
        <v>45636</v>
      </c>
      <c r="C259" t="s">
        <v>1646</v>
      </c>
      <c r="D259" t="s">
        <v>1258</v>
      </c>
      <c r="E259" t="s">
        <v>40</v>
      </c>
      <c r="F259" t="s">
        <v>1259</v>
      </c>
      <c r="G259" t="s">
        <v>67</v>
      </c>
      <c r="H259" t="s">
        <v>1260</v>
      </c>
      <c r="I259">
        <v>4899</v>
      </c>
      <c r="J259">
        <v>1</v>
      </c>
      <c r="K259" t="s">
        <v>1647</v>
      </c>
      <c r="L259">
        <v>4899</v>
      </c>
      <c r="M259">
        <v>4899</v>
      </c>
      <c r="O259">
        <v>0</v>
      </c>
      <c r="P259">
        <v>0</v>
      </c>
      <c r="Q259" t="s">
        <v>60</v>
      </c>
      <c r="R259" t="s">
        <v>46</v>
      </c>
      <c r="S259" t="s">
        <v>164</v>
      </c>
      <c r="T259" t="s">
        <v>165</v>
      </c>
      <c r="U259" t="s">
        <v>47</v>
      </c>
      <c r="V259" s="4">
        <v>45652</v>
      </c>
      <c r="W259" t="s">
        <v>1648</v>
      </c>
      <c r="X259" t="s">
        <v>1650</v>
      </c>
      <c r="Y259" t="s">
        <v>35</v>
      </c>
      <c r="Z259" t="s">
        <v>49</v>
      </c>
      <c r="AA259" t="s">
        <v>119</v>
      </c>
      <c r="AB259" s="4">
        <v>45680</v>
      </c>
      <c r="AC259" t="s">
        <v>1652</v>
      </c>
      <c r="AD259" t="s">
        <v>1653</v>
      </c>
      <c r="AE259" t="s">
        <v>52</v>
      </c>
    </row>
    <row r="260" spans="1:31" x14ac:dyDescent="0.3">
      <c r="A260" t="s">
        <v>1262</v>
      </c>
      <c r="B260" s="4">
        <v>45636</v>
      </c>
      <c r="C260" t="s">
        <v>1646</v>
      </c>
      <c r="D260" t="s">
        <v>1263</v>
      </c>
      <c r="E260" t="s">
        <v>26</v>
      </c>
      <c r="F260" t="s">
        <v>1264</v>
      </c>
      <c r="G260" t="s">
        <v>79</v>
      </c>
      <c r="H260" t="s">
        <v>1265</v>
      </c>
      <c r="I260">
        <v>1199</v>
      </c>
      <c r="J260">
        <v>1</v>
      </c>
      <c r="K260" t="s">
        <v>1647</v>
      </c>
      <c r="L260">
        <v>1199</v>
      </c>
      <c r="M260">
        <v>1199</v>
      </c>
      <c r="O260">
        <v>0</v>
      </c>
      <c r="P260">
        <v>0</v>
      </c>
      <c r="Q260" t="s">
        <v>128</v>
      </c>
      <c r="R260" t="s">
        <v>71</v>
      </c>
      <c r="S260" t="s">
        <v>171</v>
      </c>
      <c r="T260" t="s">
        <v>172</v>
      </c>
      <c r="U260" t="s">
        <v>32</v>
      </c>
      <c r="V260" s="4">
        <v>45651</v>
      </c>
      <c r="W260" t="s">
        <v>1648</v>
      </c>
      <c r="X260" t="s">
        <v>1650</v>
      </c>
      <c r="Y260" t="s">
        <v>35</v>
      </c>
      <c r="Z260" t="s">
        <v>36</v>
      </c>
      <c r="AB260" s="4"/>
      <c r="AC260" t="s">
        <v>1649</v>
      </c>
      <c r="AD260" t="s">
        <v>1651</v>
      </c>
      <c r="AE260" t="s">
        <v>37</v>
      </c>
    </row>
    <row r="261" spans="1:31" x14ac:dyDescent="0.3">
      <c r="A261" t="s">
        <v>1266</v>
      </c>
      <c r="B261" s="4">
        <v>45636</v>
      </c>
      <c r="C261" t="s">
        <v>1646</v>
      </c>
      <c r="D261" t="s">
        <v>1267</v>
      </c>
      <c r="E261" t="s">
        <v>26</v>
      </c>
      <c r="F261" t="s">
        <v>1268</v>
      </c>
      <c r="G261" t="s">
        <v>28</v>
      </c>
      <c r="H261" t="s">
        <v>1269</v>
      </c>
      <c r="I261">
        <v>1899</v>
      </c>
      <c r="J261">
        <v>1</v>
      </c>
      <c r="K261" t="s">
        <v>1647</v>
      </c>
      <c r="L261">
        <v>1899</v>
      </c>
      <c r="M261">
        <v>1519.2</v>
      </c>
      <c r="N261" t="s">
        <v>1101</v>
      </c>
      <c r="O261">
        <v>20</v>
      </c>
      <c r="P261">
        <v>379.8</v>
      </c>
      <c r="Q261" t="s">
        <v>70</v>
      </c>
      <c r="R261" t="s">
        <v>31</v>
      </c>
      <c r="S261" t="s">
        <v>177</v>
      </c>
      <c r="T261" t="s">
        <v>109</v>
      </c>
      <c r="U261" t="s">
        <v>32</v>
      </c>
      <c r="V261" s="4">
        <v>45652</v>
      </c>
      <c r="W261" t="s">
        <v>1648</v>
      </c>
      <c r="X261" t="s">
        <v>1650</v>
      </c>
      <c r="Y261" t="s">
        <v>35</v>
      </c>
      <c r="Z261" t="s">
        <v>49</v>
      </c>
      <c r="AA261" t="s">
        <v>158</v>
      </c>
      <c r="AB261" s="4">
        <v>45678</v>
      </c>
      <c r="AC261" t="s">
        <v>1652</v>
      </c>
      <c r="AD261" t="s">
        <v>1653</v>
      </c>
      <c r="AE261" t="s">
        <v>52</v>
      </c>
    </row>
    <row r="262" spans="1:31" x14ac:dyDescent="0.3">
      <c r="A262" t="s">
        <v>1271</v>
      </c>
      <c r="B262" s="4">
        <v>45637</v>
      </c>
      <c r="C262" t="s">
        <v>1646</v>
      </c>
      <c r="D262" t="s">
        <v>1272</v>
      </c>
      <c r="E262" t="s">
        <v>26</v>
      </c>
      <c r="F262" t="s">
        <v>1273</v>
      </c>
      <c r="G262" t="s">
        <v>42</v>
      </c>
      <c r="H262" t="s">
        <v>1274</v>
      </c>
      <c r="I262">
        <v>3599</v>
      </c>
      <c r="J262">
        <v>1</v>
      </c>
      <c r="K262" t="s">
        <v>1647</v>
      </c>
      <c r="L262">
        <v>3599</v>
      </c>
      <c r="M262">
        <v>3599</v>
      </c>
      <c r="O262">
        <v>0</v>
      </c>
      <c r="P262">
        <v>0</v>
      </c>
      <c r="Q262" t="s">
        <v>45</v>
      </c>
      <c r="R262" t="s">
        <v>46</v>
      </c>
      <c r="S262" t="s">
        <v>184</v>
      </c>
      <c r="T262" t="s">
        <v>185</v>
      </c>
      <c r="U262" t="s">
        <v>47</v>
      </c>
      <c r="V262" s="4">
        <v>45653</v>
      </c>
      <c r="W262" t="s">
        <v>1648</v>
      </c>
      <c r="X262" t="s">
        <v>1650</v>
      </c>
      <c r="Y262" t="s">
        <v>35</v>
      </c>
      <c r="Z262" t="s">
        <v>36</v>
      </c>
      <c r="AB262" s="4"/>
      <c r="AC262" t="s">
        <v>1649</v>
      </c>
      <c r="AD262" t="s">
        <v>1651</v>
      </c>
      <c r="AE262" t="s">
        <v>37</v>
      </c>
    </row>
    <row r="263" spans="1:31" x14ac:dyDescent="0.3">
      <c r="A263" t="s">
        <v>1275</v>
      </c>
      <c r="B263" s="4">
        <v>45637</v>
      </c>
      <c r="C263" t="s">
        <v>1646</v>
      </c>
      <c r="D263" t="s">
        <v>1276</v>
      </c>
      <c r="E263" t="s">
        <v>26</v>
      </c>
      <c r="F263" t="s">
        <v>1277</v>
      </c>
      <c r="G263" t="s">
        <v>58</v>
      </c>
      <c r="H263" t="s">
        <v>1278</v>
      </c>
      <c r="I263">
        <v>2699</v>
      </c>
      <c r="J263">
        <v>1</v>
      </c>
      <c r="K263" t="s">
        <v>1647</v>
      </c>
      <c r="L263">
        <v>2699</v>
      </c>
      <c r="M263">
        <v>2699</v>
      </c>
      <c r="O263">
        <v>0</v>
      </c>
      <c r="P263">
        <v>0</v>
      </c>
      <c r="Q263" t="s">
        <v>30</v>
      </c>
      <c r="R263" t="s">
        <v>71</v>
      </c>
      <c r="S263" t="s">
        <v>190</v>
      </c>
      <c r="T263" t="s">
        <v>172</v>
      </c>
      <c r="U263" t="s">
        <v>32</v>
      </c>
      <c r="V263" s="4">
        <v>45653</v>
      </c>
      <c r="W263" t="s">
        <v>1648</v>
      </c>
      <c r="X263" t="s">
        <v>1650</v>
      </c>
      <c r="Y263" t="s">
        <v>35</v>
      </c>
      <c r="Z263" t="s">
        <v>49</v>
      </c>
      <c r="AA263" t="s">
        <v>50</v>
      </c>
      <c r="AB263" s="4">
        <v>45681</v>
      </c>
      <c r="AC263" t="s">
        <v>1652</v>
      </c>
      <c r="AD263" t="s">
        <v>1653</v>
      </c>
      <c r="AE263" t="s">
        <v>52</v>
      </c>
    </row>
    <row r="264" spans="1:31" x14ac:dyDescent="0.3">
      <c r="A264" t="s">
        <v>1280</v>
      </c>
      <c r="B264" s="4">
        <v>45637</v>
      </c>
      <c r="C264" t="s">
        <v>1646</v>
      </c>
      <c r="D264" t="s">
        <v>1281</v>
      </c>
      <c r="E264" t="s">
        <v>40</v>
      </c>
      <c r="F264" t="s">
        <v>1282</v>
      </c>
      <c r="G264" t="s">
        <v>67</v>
      </c>
      <c r="H264" t="s">
        <v>1283</v>
      </c>
      <c r="I264">
        <v>5599</v>
      </c>
      <c r="J264">
        <v>1</v>
      </c>
      <c r="K264" t="s">
        <v>1647</v>
      </c>
      <c r="L264">
        <v>5599</v>
      </c>
      <c r="M264">
        <v>4479.2</v>
      </c>
      <c r="N264" t="s">
        <v>1101</v>
      </c>
      <c r="O264">
        <v>20</v>
      </c>
      <c r="P264">
        <v>1119.8</v>
      </c>
      <c r="Q264" t="s">
        <v>60</v>
      </c>
      <c r="R264" t="s">
        <v>31</v>
      </c>
      <c r="S264" t="s">
        <v>195</v>
      </c>
      <c r="T264" t="s">
        <v>33</v>
      </c>
      <c r="U264" t="s">
        <v>32</v>
      </c>
      <c r="V264" s="4">
        <v>45654</v>
      </c>
      <c r="W264" t="s">
        <v>1648</v>
      </c>
      <c r="X264" t="s">
        <v>1650</v>
      </c>
      <c r="Y264" t="s">
        <v>35</v>
      </c>
      <c r="Z264" t="s">
        <v>49</v>
      </c>
      <c r="AA264" t="s">
        <v>89</v>
      </c>
      <c r="AB264" s="4">
        <v>45682</v>
      </c>
      <c r="AC264" t="s">
        <v>1652</v>
      </c>
      <c r="AD264" t="s">
        <v>1653</v>
      </c>
      <c r="AE264" t="s">
        <v>52</v>
      </c>
    </row>
    <row r="265" spans="1:31" x14ac:dyDescent="0.3">
      <c r="A265" t="s">
        <v>1285</v>
      </c>
      <c r="B265" s="4">
        <v>45637</v>
      </c>
      <c r="C265" t="s">
        <v>1646</v>
      </c>
      <c r="D265" t="s">
        <v>1286</v>
      </c>
      <c r="E265" t="s">
        <v>26</v>
      </c>
      <c r="F265" t="s">
        <v>1287</v>
      </c>
      <c r="G265" t="s">
        <v>79</v>
      </c>
      <c r="H265" t="s">
        <v>1288</v>
      </c>
      <c r="I265">
        <v>399</v>
      </c>
      <c r="J265">
        <v>3</v>
      </c>
      <c r="K265" t="s">
        <v>1647</v>
      </c>
      <c r="L265">
        <v>1197</v>
      </c>
      <c r="M265">
        <v>1197</v>
      </c>
      <c r="O265">
        <v>0</v>
      </c>
      <c r="P265">
        <v>0</v>
      </c>
      <c r="Q265" t="s">
        <v>128</v>
      </c>
      <c r="R265" t="s">
        <v>46</v>
      </c>
      <c r="S265" t="s">
        <v>202</v>
      </c>
      <c r="T265" t="s">
        <v>73</v>
      </c>
      <c r="U265" t="s">
        <v>61</v>
      </c>
      <c r="V265" s="4">
        <v>45653</v>
      </c>
      <c r="W265" t="s">
        <v>1648</v>
      </c>
      <c r="X265" t="s">
        <v>1650</v>
      </c>
      <c r="Y265" t="s">
        <v>35</v>
      </c>
      <c r="Z265" t="s">
        <v>36</v>
      </c>
      <c r="AB265" s="4"/>
      <c r="AC265" t="s">
        <v>1649</v>
      </c>
      <c r="AD265" t="s">
        <v>1651</v>
      </c>
      <c r="AE265" t="s">
        <v>37</v>
      </c>
    </row>
    <row r="266" spans="1:31" x14ac:dyDescent="0.3">
      <c r="A266" t="s">
        <v>1289</v>
      </c>
      <c r="B266" s="4">
        <v>45638</v>
      </c>
      <c r="C266" t="s">
        <v>1646</v>
      </c>
      <c r="D266" t="s">
        <v>1290</v>
      </c>
      <c r="E266" t="s">
        <v>26</v>
      </c>
      <c r="F266" t="s">
        <v>1291</v>
      </c>
      <c r="G266" t="s">
        <v>28</v>
      </c>
      <c r="H266" t="s">
        <v>1292</v>
      </c>
      <c r="I266">
        <v>2199</v>
      </c>
      <c r="J266">
        <v>1</v>
      </c>
      <c r="K266" t="s">
        <v>1647</v>
      </c>
      <c r="L266">
        <v>2199</v>
      </c>
      <c r="M266">
        <v>2199</v>
      </c>
      <c r="O266">
        <v>0</v>
      </c>
      <c r="P266">
        <v>0</v>
      </c>
      <c r="Q266" t="s">
        <v>70</v>
      </c>
      <c r="R266" t="s">
        <v>71</v>
      </c>
      <c r="S266" t="s">
        <v>208</v>
      </c>
      <c r="T266" t="s">
        <v>209</v>
      </c>
      <c r="U266" t="s">
        <v>61</v>
      </c>
      <c r="V266" s="4">
        <v>45654</v>
      </c>
      <c r="W266" t="s">
        <v>1648</v>
      </c>
      <c r="X266" t="s">
        <v>1650</v>
      </c>
      <c r="Y266" t="s">
        <v>35</v>
      </c>
      <c r="Z266" t="s">
        <v>49</v>
      </c>
      <c r="AA266" t="s">
        <v>75</v>
      </c>
      <c r="AB266" s="4">
        <v>45680</v>
      </c>
      <c r="AC266" t="s">
        <v>1652</v>
      </c>
      <c r="AD266" t="s">
        <v>1653</v>
      </c>
      <c r="AE266" t="s">
        <v>52</v>
      </c>
    </row>
    <row r="267" spans="1:31" x14ac:dyDescent="0.3">
      <c r="A267" t="s">
        <v>1293</v>
      </c>
      <c r="B267" s="4">
        <v>45638</v>
      </c>
      <c r="C267" t="s">
        <v>1646</v>
      </c>
      <c r="D267" t="s">
        <v>1294</v>
      </c>
      <c r="E267" t="s">
        <v>26</v>
      </c>
      <c r="F267" t="s">
        <v>1295</v>
      </c>
      <c r="G267" t="s">
        <v>42</v>
      </c>
      <c r="H267" t="s">
        <v>1296</v>
      </c>
      <c r="I267">
        <v>4299</v>
      </c>
      <c r="J267">
        <v>1</v>
      </c>
      <c r="K267" t="s">
        <v>1647</v>
      </c>
      <c r="L267">
        <v>4299</v>
      </c>
      <c r="M267">
        <v>3439.2</v>
      </c>
      <c r="N267" t="s">
        <v>1101</v>
      </c>
      <c r="O267">
        <v>20</v>
      </c>
      <c r="P267">
        <v>859.8</v>
      </c>
      <c r="Q267" t="s">
        <v>45</v>
      </c>
      <c r="R267" t="s">
        <v>31</v>
      </c>
      <c r="S267" t="s">
        <v>215</v>
      </c>
      <c r="T267" t="s">
        <v>216</v>
      </c>
      <c r="U267" t="s">
        <v>61</v>
      </c>
      <c r="V267" s="4">
        <v>45655</v>
      </c>
      <c r="W267" t="s">
        <v>1648</v>
      </c>
      <c r="X267" t="s">
        <v>1650</v>
      </c>
      <c r="Y267" t="s">
        <v>35</v>
      </c>
      <c r="Z267" t="s">
        <v>36</v>
      </c>
      <c r="AB267" s="4"/>
      <c r="AC267" t="s">
        <v>1649</v>
      </c>
      <c r="AD267" t="s">
        <v>1651</v>
      </c>
      <c r="AE267" t="s">
        <v>37</v>
      </c>
    </row>
    <row r="268" spans="1:31" x14ac:dyDescent="0.3">
      <c r="A268" t="s">
        <v>1297</v>
      </c>
      <c r="B268" s="4">
        <v>45638</v>
      </c>
      <c r="C268" t="s">
        <v>1646</v>
      </c>
      <c r="D268" t="s">
        <v>1298</v>
      </c>
      <c r="E268" t="s">
        <v>26</v>
      </c>
      <c r="F268" t="s">
        <v>1299</v>
      </c>
      <c r="G268" t="s">
        <v>58</v>
      </c>
      <c r="H268" t="s">
        <v>1300</v>
      </c>
      <c r="I268">
        <v>2399</v>
      </c>
      <c r="J268">
        <v>1</v>
      </c>
      <c r="K268" t="s">
        <v>1647</v>
      </c>
      <c r="L268">
        <v>2399</v>
      </c>
      <c r="M268">
        <v>2399</v>
      </c>
      <c r="O268">
        <v>0</v>
      </c>
      <c r="P268">
        <v>0</v>
      </c>
      <c r="Q268" t="s">
        <v>30</v>
      </c>
      <c r="R268" t="s">
        <v>46</v>
      </c>
      <c r="S268" t="s">
        <v>221</v>
      </c>
      <c r="T268" t="s">
        <v>209</v>
      </c>
      <c r="U268" t="s">
        <v>61</v>
      </c>
      <c r="V268" s="4">
        <v>45655</v>
      </c>
      <c r="W268" t="s">
        <v>1648</v>
      </c>
      <c r="X268" t="s">
        <v>1650</v>
      </c>
      <c r="Y268" t="s">
        <v>35</v>
      </c>
      <c r="Z268" t="s">
        <v>49</v>
      </c>
      <c r="AA268" t="s">
        <v>119</v>
      </c>
      <c r="AB268" s="4">
        <v>45683</v>
      </c>
      <c r="AC268" t="s">
        <v>1652</v>
      </c>
      <c r="AD268" t="s">
        <v>1653</v>
      </c>
      <c r="AE268" t="s">
        <v>52</v>
      </c>
    </row>
    <row r="269" spans="1:31" x14ac:dyDescent="0.3">
      <c r="A269" t="s">
        <v>1302</v>
      </c>
      <c r="B269" s="4">
        <v>45638</v>
      </c>
      <c r="C269" t="s">
        <v>1646</v>
      </c>
      <c r="D269" t="s">
        <v>1303</v>
      </c>
      <c r="E269" t="s">
        <v>40</v>
      </c>
      <c r="F269" t="s">
        <v>1304</v>
      </c>
      <c r="G269" t="s">
        <v>67</v>
      </c>
      <c r="H269" t="s">
        <v>1305</v>
      </c>
      <c r="I269">
        <v>6299</v>
      </c>
      <c r="J269">
        <v>1</v>
      </c>
      <c r="K269" t="s">
        <v>1647</v>
      </c>
      <c r="L269">
        <v>6299</v>
      </c>
      <c r="M269">
        <v>6299</v>
      </c>
      <c r="O269">
        <v>0</v>
      </c>
      <c r="P269">
        <v>0</v>
      </c>
      <c r="Q269" t="s">
        <v>60</v>
      </c>
      <c r="R269" t="s">
        <v>71</v>
      </c>
      <c r="S269" t="s">
        <v>226</v>
      </c>
      <c r="T269" t="s">
        <v>62</v>
      </c>
      <c r="U269" t="s">
        <v>61</v>
      </c>
      <c r="V269" s="4"/>
      <c r="W269" t="s">
        <v>1656</v>
      </c>
      <c r="X269" t="s">
        <v>1657</v>
      </c>
      <c r="Y269" t="s">
        <v>137</v>
      </c>
      <c r="Z269" t="s">
        <v>36</v>
      </c>
      <c r="AB269" s="4"/>
      <c r="AC269" t="s">
        <v>1656</v>
      </c>
      <c r="AD269" t="s">
        <v>1651</v>
      </c>
      <c r="AE269" t="s">
        <v>37</v>
      </c>
    </row>
    <row r="270" spans="1:31" x14ac:dyDescent="0.3">
      <c r="A270" t="s">
        <v>1306</v>
      </c>
      <c r="B270" s="4">
        <v>45639</v>
      </c>
      <c r="C270" t="s">
        <v>1646</v>
      </c>
      <c r="D270" t="s">
        <v>1307</v>
      </c>
      <c r="E270" t="s">
        <v>26</v>
      </c>
      <c r="F270" t="s">
        <v>1308</v>
      </c>
      <c r="G270" t="s">
        <v>79</v>
      </c>
      <c r="H270" t="s">
        <v>1309</v>
      </c>
      <c r="I270">
        <v>599</v>
      </c>
      <c r="J270">
        <v>2</v>
      </c>
      <c r="K270" t="s">
        <v>1647</v>
      </c>
      <c r="L270">
        <v>1198</v>
      </c>
      <c r="M270">
        <v>958.4</v>
      </c>
      <c r="N270" t="s">
        <v>1101</v>
      </c>
      <c r="O270">
        <v>20</v>
      </c>
      <c r="P270">
        <v>239.6</v>
      </c>
      <c r="Q270" t="s">
        <v>128</v>
      </c>
      <c r="R270" t="s">
        <v>31</v>
      </c>
      <c r="S270" t="s">
        <v>233</v>
      </c>
      <c r="T270" t="s">
        <v>109</v>
      </c>
      <c r="U270" t="s">
        <v>32</v>
      </c>
      <c r="V270" s="4">
        <v>45655</v>
      </c>
      <c r="W270" t="s">
        <v>1648</v>
      </c>
      <c r="X270" t="s">
        <v>1650</v>
      </c>
      <c r="Y270" t="s">
        <v>35</v>
      </c>
      <c r="Z270" t="s">
        <v>36</v>
      </c>
      <c r="AB270" s="4"/>
      <c r="AC270" t="s">
        <v>1649</v>
      </c>
      <c r="AD270" t="s">
        <v>1651</v>
      </c>
      <c r="AE270" t="s">
        <v>37</v>
      </c>
    </row>
    <row r="271" spans="1:31" x14ac:dyDescent="0.3">
      <c r="A271" t="s">
        <v>1310</v>
      </c>
      <c r="B271" s="4">
        <v>45639</v>
      </c>
      <c r="C271" t="s">
        <v>1646</v>
      </c>
      <c r="D271" t="s">
        <v>1311</v>
      </c>
      <c r="E271" t="s">
        <v>26</v>
      </c>
      <c r="F271" t="s">
        <v>1312</v>
      </c>
      <c r="G271" t="s">
        <v>28</v>
      </c>
      <c r="H271" t="s">
        <v>1313</v>
      </c>
      <c r="I271">
        <v>2399</v>
      </c>
      <c r="J271">
        <v>1</v>
      </c>
      <c r="K271" t="s">
        <v>1647</v>
      </c>
      <c r="L271">
        <v>2399</v>
      </c>
      <c r="M271">
        <v>2399</v>
      </c>
      <c r="O271">
        <v>0</v>
      </c>
      <c r="P271">
        <v>0</v>
      </c>
      <c r="Q271" t="s">
        <v>70</v>
      </c>
      <c r="R271" t="s">
        <v>46</v>
      </c>
      <c r="S271" t="s">
        <v>238</v>
      </c>
      <c r="T271" t="s">
        <v>109</v>
      </c>
      <c r="U271" t="s">
        <v>32</v>
      </c>
      <c r="V271" s="4">
        <v>45656</v>
      </c>
      <c r="W271" t="s">
        <v>1648</v>
      </c>
      <c r="X271" t="s">
        <v>1650</v>
      </c>
      <c r="Y271" t="s">
        <v>35</v>
      </c>
      <c r="Z271" t="s">
        <v>49</v>
      </c>
      <c r="AA271" t="s">
        <v>50</v>
      </c>
      <c r="AB271" s="4">
        <v>45684</v>
      </c>
      <c r="AC271" t="s">
        <v>1652</v>
      </c>
      <c r="AD271" t="s">
        <v>1653</v>
      </c>
      <c r="AE271" t="s">
        <v>52</v>
      </c>
    </row>
    <row r="272" spans="1:31" x14ac:dyDescent="0.3">
      <c r="A272" t="s">
        <v>1315</v>
      </c>
      <c r="B272" s="4">
        <v>45639</v>
      </c>
      <c r="C272" t="s">
        <v>1646</v>
      </c>
      <c r="D272" t="s">
        <v>1316</v>
      </c>
      <c r="E272" t="s">
        <v>26</v>
      </c>
      <c r="F272" t="s">
        <v>1317</v>
      </c>
      <c r="G272" t="s">
        <v>42</v>
      </c>
      <c r="H272" t="s">
        <v>1318</v>
      </c>
      <c r="I272">
        <v>5999</v>
      </c>
      <c r="J272">
        <v>1</v>
      </c>
      <c r="K272" t="s">
        <v>1647</v>
      </c>
      <c r="L272">
        <v>5999</v>
      </c>
      <c r="M272">
        <v>5999</v>
      </c>
      <c r="O272">
        <v>0</v>
      </c>
      <c r="P272">
        <v>0</v>
      </c>
      <c r="Q272" t="s">
        <v>45</v>
      </c>
      <c r="R272" t="s">
        <v>71</v>
      </c>
      <c r="S272" t="s">
        <v>243</v>
      </c>
      <c r="T272" t="s">
        <v>130</v>
      </c>
      <c r="U272" t="s">
        <v>47</v>
      </c>
      <c r="V272" s="4">
        <v>45657</v>
      </c>
      <c r="W272" t="s">
        <v>1648</v>
      </c>
      <c r="X272" t="s">
        <v>1650</v>
      </c>
      <c r="Y272" t="s">
        <v>35</v>
      </c>
      <c r="Z272" t="s">
        <v>49</v>
      </c>
      <c r="AA272" t="s">
        <v>158</v>
      </c>
      <c r="AB272" s="4">
        <v>45685</v>
      </c>
      <c r="AC272" t="s">
        <v>1652</v>
      </c>
      <c r="AD272" t="s">
        <v>1653</v>
      </c>
      <c r="AE272" t="s">
        <v>52</v>
      </c>
    </row>
    <row r="273" spans="1:31" x14ac:dyDescent="0.3">
      <c r="A273" t="s">
        <v>1320</v>
      </c>
      <c r="B273" s="4">
        <v>45639</v>
      </c>
      <c r="C273" t="s">
        <v>1646</v>
      </c>
      <c r="D273" t="s">
        <v>1321</v>
      </c>
      <c r="E273" t="s">
        <v>26</v>
      </c>
      <c r="F273" t="s">
        <v>1322</v>
      </c>
      <c r="G273" t="s">
        <v>58</v>
      </c>
      <c r="H273" t="s">
        <v>1323</v>
      </c>
      <c r="I273">
        <v>1899</v>
      </c>
      <c r="J273">
        <v>1</v>
      </c>
      <c r="K273" t="s">
        <v>1647</v>
      </c>
      <c r="L273">
        <v>1899</v>
      </c>
      <c r="M273">
        <v>1519.2</v>
      </c>
      <c r="N273" t="s">
        <v>1101</v>
      </c>
      <c r="O273">
        <v>20</v>
      </c>
      <c r="P273">
        <v>379.8</v>
      </c>
      <c r="Q273" t="s">
        <v>30</v>
      </c>
      <c r="R273" t="s">
        <v>31</v>
      </c>
      <c r="S273" t="s">
        <v>32</v>
      </c>
      <c r="T273" t="s">
        <v>33</v>
      </c>
      <c r="U273" t="s">
        <v>32</v>
      </c>
      <c r="V273" s="4">
        <v>45656</v>
      </c>
      <c r="W273" t="s">
        <v>1648</v>
      </c>
      <c r="X273" t="s">
        <v>1650</v>
      </c>
      <c r="Y273" t="s">
        <v>35</v>
      </c>
      <c r="Z273" t="s">
        <v>36</v>
      </c>
      <c r="AB273" s="4"/>
      <c r="AC273" t="s">
        <v>1649</v>
      </c>
      <c r="AD273" t="s">
        <v>1651</v>
      </c>
      <c r="AE273" t="s">
        <v>37</v>
      </c>
    </row>
    <row r="274" spans="1:31" x14ac:dyDescent="0.3">
      <c r="A274" t="s">
        <v>1324</v>
      </c>
      <c r="B274" s="4">
        <v>45640</v>
      </c>
      <c r="C274" t="s">
        <v>1646</v>
      </c>
      <c r="D274" t="s">
        <v>1325</v>
      </c>
      <c r="E274" t="s">
        <v>40</v>
      </c>
      <c r="F274" t="s">
        <v>1326</v>
      </c>
      <c r="G274" t="s">
        <v>67</v>
      </c>
      <c r="H274" t="s">
        <v>1327</v>
      </c>
      <c r="I274">
        <v>4999</v>
      </c>
      <c r="J274">
        <v>1</v>
      </c>
      <c r="K274" t="s">
        <v>1647</v>
      </c>
      <c r="L274">
        <v>4999</v>
      </c>
      <c r="M274">
        <v>4999</v>
      </c>
      <c r="O274">
        <v>0</v>
      </c>
      <c r="P274">
        <v>0</v>
      </c>
      <c r="Q274" t="s">
        <v>60</v>
      </c>
      <c r="R274" t="s">
        <v>46</v>
      </c>
      <c r="S274" t="s">
        <v>47</v>
      </c>
      <c r="T274" t="s">
        <v>47</v>
      </c>
      <c r="U274" t="s">
        <v>47</v>
      </c>
      <c r="V274" s="4">
        <v>45657</v>
      </c>
      <c r="W274" t="s">
        <v>1648</v>
      </c>
      <c r="X274" t="s">
        <v>1650</v>
      </c>
      <c r="Y274" t="s">
        <v>35</v>
      </c>
      <c r="Z274" t="s">
        <v>49</v>
      </c>
      <c r="AA274" t="s">
        <v>89</v>
      </c>
      <c r="AB274" s="4">
        <v>45686</v>
      </c>
      <c r="AC274" t="s">
        <v>1652</v>
      </c>
      <c r="AD274" t="s">
        <v>1653</v>
      </c>
      <c r="AE274" t="s">
        <v>52</v>
      </c>
    </row>
    <row r="275" spans="1:31" x14ac:dyDescent="0.3">
      <c r="A275" t="s">
        <v>1329</v>
      </c>
      <c r="B275" s="4">
        <v>45640</v>
      </c>
      <c r="C275" t="s">
        <v>1646</v>
      </c>
      <c r="D275" t="s">
        <v>1330</v>
      </c>
      <c r="E275" t="s">
        <v>26</v>
      </c>
      <c r="F275" t="s">
        <v>1331</v>
      </c>
      <c r="G275" t="s">
        <v>79</v>
      </c>
      <c r="H275" t="s">
        <v>1332</v>
      </c>
      <c r="I275">
        <v>1699</v>
      </c>
      <c r="J275">
        <v>1</v>
      </c>
      <c r="K275" t="s">
        <v>1647</v>
      </c>
      <c r="L275">
        <v>1699</v>
      </c>
      <c r="M275">
        <v>1699</v>
      </c>
      <c r="O275">
        <v>0</v>
      </c>
      <c r="P275">
        <v>0</v>
      </c>
      <c r="Q275" t="s">
        <v>128</v>
      </c>
      <c r="R275" t="s">
        <v>71</v>
      </c>
      <c r="S275" t="s">
        <v>101</v>
      </c>
      <c r="T275" t="s">
        <v>102</v>
      </c>
      <c r="U275" t="s">
        <v>47</v>
      </c>
      <c r="V275" s="4">
        <v>45656</v>
      </c>
      <c r="W275" t="s">
        <v>1648</v>
      </c>
      <c r="X275" t="s">
        <v>1650</v>
      </c>
      <c r="Y275" t="s">
        <v>35</v>
      </c>
      <c r="Z275" t="s">
        <v>49</v>
      </c>
      <c r="AA275" t="s">
        <v>75</v>
      </c>
      <c r="AB275" s="4">
        <v>45683</v>
      </c>
      <c r="AC275" t="s">
        <v>1652</v>
      </c>
      <c r="AD275" t="s">
        <v>1653</v>
      </c>
      <c r="AE275" t="s">
        <v>52</v>
      </c>
    </row>
    <row r="276" spans="1:31" x14ac:dyDescent="0.3">
      <c r="A276" t="s">
        <v>1333</v>
      </c>
      <c r="B276" s="4">
        <v>45640</v>
      </c>
      <c r="C276" t="s">
        <v>1646</v>
      </c>
      <c r="D276" t="s">
        <v>1334</v>
      </c>
      <c r="E276" t="s">
        <v>26</v>
      </c>
      <c r="F276" t="s">
        <v>1335</v>
      </c>
      <c r="G276" t="s">
        <v>28</v>
      </c>
      <c r="H276" t="s">
        <v>1336</v>
      </c>
      <c r="I276">
        <v>2099</v>
      </c>
      <c r="J276">
        <v>1</v>
      </c>
      <c r="K276" t="s">
        <v>1647</v>
      </c>
      <c r="L276">
        <v>2099</v>
      </c>
      <c r="M276">
        <v>1679.2</v>
      </c>
      <c r="N276" t="s">
        <v>1101</v>
      </c>
      <c r="O276">
        <v>20</v>
      </c>
      <c r="P276">
        <v>419.8</v>
      </c>
      <c r="Q276" t="s">
        <v>70</v>
      </c>
      <c r="R276" t="s">
        <v>31</v>
      </c>
      <c r="S276" t="s">
        <v>72</v>
      </c>
      <c r="T276" t="s">
        <v>73</v>
      </c>
      <c r="U276" t="s">
        <v>61</v>
      </c>
      <c r="V276" s="4">
        <v>45657</v>
      </c>
      <c r="W276" t="s">
        <v>1648</v>
      </c>
      <c r="X276" t="s">
        <v>1650</v>
      </c>
      <c r="Y276" t="s">
        <v>35</v>
      </c>
      <c r="Z276" t="s">
        <v>36</v>
      </c>
      <c r="AB276" s="4"/>
      <c r="AC276" t="s">
        <v>1649</v>
      </c>
      <c r="AD276" t="s">
        <v>1651</v>
      </c>
      <c r="AE276" t="s">
        <v>37</v>
      </c>
    </row>
    <row r="277" spans="1:31" x14ac:dyDescent="0.3">
      <c r="A277" t="s">
        <v>1337</v>
      </c>
      <c r="B277" s="4">
        <v>45640</v>
      </c>
      <c r="C277" t="s">
        <v>1646</v>
      </c>
      <c r="D277" t="s">
        <v>1338</v>
      </c>
      <c r="E277" t="s">
        <v>26</v>
      </c>
      <c r="F277" t="s">
        <v>246</v>
      </c>
      <c r="G277" t="s">
        <v>42</v>
      </c>
      <c r="H277" t="s">
        <v>1339</v>
      </c>
      <c r="I277">
        <v>4599</v>
      </c>
      <c r="J277">
        <v>1</v>
      </c>
      <c r="K277" t="s">
        <v>1647</v>
      </c>
      <c r="L277">
        <v>4599</v>
      </c>
      <c r="M277">
        <v>4599</v>
      </c>
      <c r="O277">
        <v>0</v>
      </c>
      <c r="P277">
        <v>0</v>
      </c>
      <c r="Q277" t="s">
        <v>45</v>
      </c>
      <c r="R277" t="s">
        <v>46</v>
      </c>
      <c r="S277" t="s">
        <v>86</v>
      </c>
      <c r="T277" t="s">
        <v>87</v>
      </c>
      <c r="U277" t="s">
        <v>61</v>
      </c>
      <c r="V277" s="4">
        <v>45659</v>
      </c>
      <c r="W277" t="s">
        <v>1648</v>
      </c>
      <c r="X277" t="s">
        <v>1650</v>
      </c>
      <c r="Y277" t="s">
        <v>35</v>
      </c>
      <c r="Z277" t="s">
        <v>49</v>
      </c>
      <c r="AA277" t="s">
        <v>50</v>
      </c>
      <c r="AB277" s="4">
        <v>45687</v>
      </c>
      <c r="AC277" t="s">
        <v>1652</v>
      </c>
      <c r="AD277" t="s">
        <v>1653</v>
      </c>
      <c r="AE277" t="s">
        <v>52</v>
      </c>
    </row>
    <row r="278" spans="1:31" x14ac:dyDescent="0.3">
      <c r="A278" t="s">
        <v>1341</v>
      </c>
      <c r="B278" s="4">
        <v>45641</v>
      </c>
      <c r="C278" t="s">
        <v>1646</v>
      </c>
      <c r="D278" t="s">
        <v>1342</v>
      </c>
      <c r="E278" t="s">
        <v>26</v>
      </c>
      <c r="F278" t="s">
        <v>1343</v>
      </c>
      <c r="G278" t="s">
        <v>58</v>
      </c>
      <c r="H278" t="s">
        <v>1344</v>
      </c>
      <c r="I278">
        <v>2299</v>
      </c>
      <c r="J278">
        <v>1</v>
      </c>
      <c r="K278" t="s">
        <v>1647</v>
      </c>
      <c r="L278">
        <v>2299</v>
      </c>
      <c r="M278">
        <v>2299</v>
      </c>
      <c r="O278">
        <v>0</v>
      </c>
      <c r="P278">
        <v>0</v>
      </c>
      <c r="Q278" t="s">
        <v>30</v>
      </c>
      <c r="R278" t="s">
        <v>71</v>
      </c>
      <c r="S278" t="s">
        <v>95</v>
      </c>
      <c r="T278" t="s">
        <v>33</v>
      </c>
      <c r="U278" t="s">
        <v>32</v>
      </c>
      <c r="V278" s="4">
        <v>45659</v>
      </c>
      <c r="W278" t="s">
        <v>1648</v>
      </c>
      <c r="X278" t="s">
        <v>1650</v>
      </c>
      <c r="Y278" t="s">
        <v>35</v>
      </c>
      <c r="Z278" t="s">
        <v>36</v>
      </c>
      <c r="AB278" s="4"/>
      <c r="AC278" t="s">
        <v>1649</v>
      </c>
      <c r="AD278" t="s">
        <v>1651</v>
      </c>
      <c r="AE278" t="s">
        <v>37</v>
      </c>
    </row>
    <row r="279" spans="1:31" x14ac:dyDescent="0.3">
      <c r="A279" t="s">
        <v>1345</v>
      </c>
      <c r="B279" s="4">
        <v>45641</v>
      </c>
      <c r="C279" t="s">
        <v>1646</v>
      </c>
      <c r="D279" t="s">
        <v>1346</v>
      </c>
      <c r="E279" t="s">
        <v>40</v>
      </c>
      <c r="F279" t="s">
        <v>1347</v>
      </c>
      <c r="G279" t="s">
        <v>67</v>
      </c>
      <c r="H279" t="s">
        <v>1348</v>
      </c>
      <c r="I279">
        <v>5799</v>
      </c>
      <c r="J279">
        <v>1</v>
      </c>
      <c r="K279" t="s">
        <v>1647</v>
      </c>
      <c r="L279">
        <v>5799</v>
      </c>
      <c r="M279">
        <v>4639.2</v>
      </c>
      <c r="N279" t="s">
        <v>1101</v>
      </c>
      <c r="O279">
        <v>20</v>
      </c>
      <c r="P279">
        <v>1159.8</v>
      </c>
      <c r="Q279" t="s">
        <v>60</v>
      </c>
      <c r="R279" t="s">
        <v>31</v>
      </c>
      <c r="S279" t="s">
        <v>108</v>
      </c>
      <c r="T279" t="s">
        <v>109</v>
      </c>
      <c r="U279" t="s">
        <v>32</v>
      </c>
      <c r="V279" s="4">
        <v>45660</v>
      </c>
      <c r="W279" t="s">
        <v>1648</v>
      </c>
      <c r="X279" t="s">
        <v>1650</v>
      </c>
      <c r="Y279" t="s">
        <v>35</v>
      </c>
      <c r="Z279" t="s">
        <v>49</v>
      </c>
      <c r="AA279" t="s">
        <v>119</v>
      </c>
      <c r="AB279" s="4">
        <v>45688</v>
      </c>
      <c r="AC279" t="s">
        <v>1652</v>
      </c>
      <c r="AD279" t="s">
        <v>1653</v>
      </c>
      <c r="AE279" t="s">
        <v>52</v>
      </c>
    </row>
    <row r="280" spans="1:31" x14ac:dyDescent="0.3">
      <c r="A280" t="s">
        <v>1350</v>
      </c>
      <c r="B280" s="4">
        <v>45641</v>
      </c>
      <c r="C280" t="s">
        <v>1646</v>
      </c>
      <c r="D280" t="s">
        <v>1351</v>
      </c>
      <c r="E280" t="s">
        <v>26</v>
      </c>
      <c r="F280" t="s">
        <v>1352</v>
      </c>
      <c r="G280" t="s">
        <v>79</v>
      </c>
      <c r="H280" t="s">
        <v>1353</v>
      </c>
      <c r="I280">
        <v>799</v>
      </c>
      <c r="J280">
        <v>2</v>
      </c>
      <c r="K280" t="s">
        <v>1647</v>
      </c>
      <c r="L280">
        <v>1598</v>
      </c>
      <c r="M280">
        <v>1598</v>
      </c>
      <c r="O280">
        <v>0</v>
      </c>
      <c r="P280">
        <v>0</v>
      </c>
      <c r="Q280" t="s">
        <v>128</v>
      </c>
      <c r="R280" t="s">
        <v>46</v>
      </c>
      <c r="S280" t="s">
        <v>116</v>
      </c>
      <c r="T280" t="s">
        <v>117</v>
      </c>
      <c r="U280" t="s">
        <v>47</v>
      </c>
      <c r="V280" s="4">
        <v>45659</v>
      </c>
      <c r="W280" t="s">
        <v>1648</v>
      </c>
      <c r="X280" t="s">
        <v>1650</v>
      </c>
      <c r="Y280" t="s">
        <v>35</v>
      </c>
      <c r="Z280" t="s">
        <v>36</v>
      </c>
      <c r="AB280" s="4"/>
      <c r="AC280" t="s">
        <v>1649</v>
      </c>
      <c r="AD280" t="s">
        <v>1651</v>
      </c>
      <c r="AE280" t="s">
        <v>37</v>
      </c>
    </row>
    <row r="281" spans="1:31" x14ac:dyDescent="0.3">
      <c r="A281" t="s">
        <v>1354</v>
      </c>
      <c r="B281" s="4">
        <v>45641</v>
      </c>
      <c r="C281" t="s">
        <v>1646</v>
      </c>
      <c r="D281" t="s">
        <v>1355</v>
      </c>
      <c r="E281" t="s">
        <v>26</v>
      </c>
      <c r="F281" t="s">
        <v>1356</v>
      </c>
      <c r="G281" t="s">
        <v>28</v>
      </c>
      <c r="H281" t="s">
        <v>1357</v>
      </c>
      <c r="I281">
        <v>1999</v>
      </c>
      <c r="J281">
        <v>1</v>
      </c>
      <c r="K281" t="s">
        <v>1647</v>
      </c>
      <c r="L281">
        <v>1999</v>
      </c>
      <c r="M281">
        <v>1999</v>
      </c>
      <c r="O281">
        <v>0</v>
      </c>
      <c r="P281">
        <v>0</v>
      </c>
      <c r="Q281" t="s">
        <v>70</v>
      </c>
      <c r="R281" t="s">
        <v>71</v>
      </c>
      <c r="S281" t="s">
        <v>129</v>
      </c>
      <c r="T281" t="s">
        <v>130</v>
      </c>
      <c r="U281" t="s">
        <v>47</v>
      </c>
      <c r="V281" s="4">
        <v>45660</v>
      </c>
      <c r="W281" t="s">
        <v>1648</v>
      </c>
      <c r="X281" t="s">
        <v>1650</v>
      </c>
      <c r="Y281" t="s">
        <v>35</v>
      </c>
      <c r="Z281" t="s">
        <v>49</v>
      </c>
      <c r="AA281" t="s">
        <v>158</v>
      </c>
      <c r="AB281" s="4">
        <v>45687</v>
      </c>
      <c r="AC281" t="s">
        <v>1652</v>
      </c>
      <c r="AD281" t="s">
        <v>1653</v>
      </c>
      <c r="AE281" t="s">
        <v>52</v>
      </c>
    </row>
    <row r="282" spans="1:31" x14ac:dyDescent="0.3">
      <c r="A282" t="s">
        <v>1358</v>
      </c>
      <c r="B282" s="4">
        <v>45642</v>
      </c>
      <c r="C282" t="s">
        <v>1646</v>
      </c>
      <c r="D282" t="s">
        <v>1359</v>
      </c>
      <c r="E282" t="s">
        <v>26</v>
      </c>
      <c r="F282" t="s">
        <v>1360</v>
      </c>
      <c r="G282" t="s">
        <v>42</v>
      </c>
      <c r="H282" t="s">
        <v>1361</v>
      </c>
      <c r="I282">
        <v>3899</v>
      </c>
      <c r="J282">
        <v>1</v>
      </c>
      <c r="K282" t="s">
        <v>1647</v>
      </c>
      <c r="L282">
        <v>3899</v>
      </c>
      <c r="M282">
        <v>3119.2</v>
      </c>
      <c r="N282" t="s">
        <v>1101</v>
      </c>
      <c r="O282">
        <v>20</v>
      </c>
      <c r="P282">
        <v>779.8</v>
      </c>
      <c r="Q282" t="s">
        <v>45</v>
      </c>
      <c r="R282" t="s">
        <v>31</v>
      </c>
      <c r="S282" t="s">
        <v>61</v>
      </c>
      <c r="T282" t="s">
        <v>62</v>
      </c>
      <c r="U282" t="s">
        <v>61</v>
      </c>
      <c r="V282" s="4">
        <v>45661</v>
      </c>
      <c r="W282" t="s">
        <v>1648</v>
      </c>
      <c r="X282" t="s">
        <v>1650</v>
      </c>
      <c r="Y282" t="s">
        <v>35</v>
      </c>
      <c r="Z282" t="s">
        <v>49</v>
      </c>
      <c r="AA282" t="s">
        <v>50</v>
      </c>
      <c r="AB282" s="4">
        <v>45689</v>
      </c>
      <c r="AC282" t="s">
        <v>1652</v>
      </c>
      <c r="AD282" t="s">
        <v>1653</v>
      </c>
      <c r="AE282" t="s">
        <v>52</v>
      </c>
    </row>
    <row r="283" spans="1:31" x14ac:dyDescent="0.3">
      <c r="A283" t="s">
        <v>1363</v>
      </c>
      <c r="B283" s="4">
        <v>45642</v>
      </c>
      <c r="C283" t="s">
        <v>1646</v>
      </c>
      <c r="D283" t="s">
        <v>1364</v>
      </c>
      <c r="E283" t="s">
        <v>26</v>
      </c>
      <c r="F283" t="s">
        <v>1365</v>
      </c>
      <c r="G283" t="s">
        <v>58</v>
      </c>
      <c r="H283" t="s">
        <v>1366</v>
      </c>
      <c r="I283">
        <v>2599</v>
      </c>
      <c r="J283">
        <v>1</v>
      </c>
      <c r="K283" t="s">
        <v>1647</v>
      </c>
      <c r="L283">
        <v>2599</v>
      </c>
      <c r="M283">
        <v>2599</v>
      </c>
      <c r="O283">
        <v>0</v>
      </c>
      <c r="P283">
        <v>0</v>
      </c>
      <c r="Q283" t="s">
        <v>30</v>
      </c>
      <c r="R283" t="s">
        <v>46</v>
      </c>
      <c r="S283" t="s">
        <v>32</v>
      </c>
      <c r="T283" t="s">
        <v>33</v>
      </c>
      <c r="U283" t="s">
        <v>32</v>
      </c>
      <c r="V283" s="4">
        <v>45661</v>
      </c>
      <c r="W283" t="s">
        <v>1648</v>
      </c>
      <c r="X283" t="s">
        <v>1650</v>
      </c>
      <c r="Y283" t="s">
        <v>35</v>
      </c>
      <c r="Z283" t="s">
        <v>36</v>
      </c>
      <c r="AB283" s="4"/>
      <c r="AC283" t="s">
        <v>1649</v>
      </c>
      <c r="AD283" t="s">
        <v>1651</v>
      </c>
      <c r="AE283" t="s">
        <v>37</v>
      </c>
    </row>
    <row r="284" spans="1:31" x14ac:dyDescent="0.3">
      <c r="A284" t="s">
        <v>1367</v>
      </c>
      <c r="B284" s="4">
        <v>45642</v>
      </c>
      <c r="C284" t="s">
        <v>1646</v>
      </c>
      <c r="D284" t="s">
        <v>1368</v>
      </c>
      <c r="E284" t="s">
        <v>26</v>
      </c>
      <c r="F284" t="s">
        <v>1369</v>
      </c>
      <c r="G284" t="s">
        <v>67</v>
      </c>
      <c r="H284" t="s">
        <v>1370</v>
      </c>
      <c r="I284">
        <v>5299</v>
      </c>
      <c r="J284">
        <v>1</v>
      </c>
      <c r="K284" t="s">
        <v>1647</v>
      </c>
      <c r="L284">
        <v>5299</v>
      </c>
      <c r="M284">
        <v>5299</v>
      </c>
      <c r="O284">
        <v>0</v>
      </c>
      <c r="P284">
        <v>0</v>
      </c>
      <c r="Q284" t="s">
        <v>60</v>
      </c>
      <c r="R284" t="s">
        <v>71</v>
      </c>
      <c r="S284" t="s">
        <v>47</v>
      </c>
      <c r="T284" t="s">
        <v>47</v>
      </c>
      <c r="U284" t="s">
        <v>47</v>
      </c>
      <c r="V284" s="4">
        <v>45662</v>
      </c>
      <c r="W284" t="s">
        <v>1648</v>
      </c>
      <c r="X284" t="s">
        <v>1650</v>
      </c>
      <c r="Y284" t="s">
        <v>35</v>
      </c>
      <c r="Z284" t="s">
        <v>49</v>
      </c>
      <c r="AA284" t="s">
        <v>89</v>
      </c>
      <c r="AB284" s="4">
        <v>45690</v>
      </c>
      <c r="AC284" t="s">
        <v>1652</v>
      </c>
      <c r="AD284" t="s">
        <v>1653</v>
      </c>
      <c r="AE284" t="s">
        <v>52</v>
      </c>
    </row>
    <row r="285" spans="1:31" x14ac:dyDescent="0.3">
      <c r="A285" t="s">
        <v>1372</v>
      </c>
      <c r="B285" s="4">
        <v>45642</v>
      </c>
      <c r="C285" t="s">
        <v>1646</v>
      </c>
      <c r="D285" t="s">
        <v>1373</v>
      </c>
      <c r="E285" t="s">
        <v>40</v>
      </c>
      <c r="F285" t="s">
        <v>1374</v>
      </c>
      <c r="G285" t="s">
        <v>79</v>
      </c>
      <c r="H285" t="s">
        <v>1375</v>
      </c>
      <c r="I285">
        <v>1399</v>
      </c>
      <c r="J285">
        <v>1</v>
      </c>
      <c r="K285" t="s">
        <v>1647</v>
      </c>
      <c r="L285">
        <v>1399</v>
      </c>
      <c r="M285">
        <v>1119.2</v>
      </c>
      <c r="N285" t="s">
        <v>1101</v>
      </c>
      <c r="O285">
        <v>20</v>
      </c>
      <c r="P285">
        <v>279.8</v>
      </c>
      <c r="Q285" t="s">
        <v>128</v>
      </c>
      <c r="R285" t="s">
        <v>31</v>
      </c>
      <c r="S285" t="s">
        <v>135</v>
      </c>
      <c r="T285" t="s">
        <v>136</v>
      </c>
      <c r="U285" t="s">
        <v>47</v>
      </c>
      <c r="V285" s="4">
        <v>45661</v>
      </c>
      <c r="W285" t="s">
        <v>1648</v>
      </c>
      <c r="X285" t="s">
        <v>1650</v>
      </c>
      <c r="Y285" t="s">
        <v>35</v>
      </c>
      <c r="Z285" t="s">
        <v>36</v>
      </c>
      <c r="AB285" s="4"/>
      <c r="AC285" t="s">
        <v>1649</v>
      </c>
      <c r="AD285" t="s">
        <v>1651</v>
      </c>
      <c r="AE285" t="s">
        <v>37</v>
      </c>
    </row>
    <row r="286" spans="1:31" x14ac:dyDescent="0.3">
      <c r="A286" t="s">
        <v>1376</v>
      </c>
      <c r="B286" s="4">
        <v>45643</v>
      </c>
      <c r="C286" t="s">
        <v>1646</v>
      </c>
      <c r="D286" t="s">
        <v>1377</v>
      </c>
      <c r="E286" t="s">
        <v>26</v>
      </c>
      <c r="F286" t="s">
        <v>1378</v>
      </c>
      <c r="G286" t="s">
        <v>28</v>
      </c>
      <c r="H286" t="s">
        <v>1379</v>
      </c>
      <c r="I286">
        <v>1799</v>
      </c>
      <c r="J286">
        <v>1</v>
      </c>
      <c r="K286" t="s">
        <v>1647</v>
      </c>
      <c r="L286">
        <v>1799</v>
      </c>
      <c r="M286">
        <v>1799</v>
      </c>
      <c r="O286">
        <v>0</v>
      </c>
      <c r="P286">
        <v>0</v>
      </c>
      <c r="Q286" t="s">
        <v>70</v>
      </c>
      <c r="R286" t="s">
        <v>46</v>
      </c>
      <c r="S286" t="s">
        <v>156</v>
      </c>
      <c r="T286" t="s">
        <v>130</v>
      </c>
      <c r="U286" t="s">
        <v>47</v>
      </c>
      <c r="V286" s="4">
        <v>45662</v>
      </c>
      <c r="W286" t="s">
        <v>1648</v>
      </c>
      <c r="X286" t="s">
        <v>1650</v>
      </c>
      <c r="Y286" t="s">
        <v>35</v>
      </c>
      <c r="Z286" t="s">
        <v>49</v>
      </c>
      <c r="AA286" t="s">
        <v>75</v>
      </c>
      <c r="AB286" s="4">
        <v>45689</v>
      </c>
      <c r="AC286" t="s">
        <v>1652</v>
      </c>
      <c r="AD286" t="s">
        <v>1653</v>
      </c>
      <c r="AE286" t="s">
        <v>52</v>
      </c>
    </row>
    <row r="287" spans="1:31" x14ac:dyDescent="0.3">
      <c r="A287" t="s">
        <v>1380</v>
      </c>
      <c r="B287" s="4">
        <v>45643</v>
      </c>
      <c r="C287" t="s">
        <v>1646</v>
      </c>
      <c r="D287" t="s">
        <v>1381</v>
      </c>
      <c r="E287" t="s">
        <v>26</v>
      </c>
      <c r="F287" t="s">
        <v>1382</v>
      </c>
      <c r="G287" t="s">
        <v>42</v>
      </c>
      <c r="H287" t="s">
        <v>1383</v>
      </c>
      <c r="I287">
        <v>4199</v>
      </c>
      <c r="J287">
        <v>1</v>
      </c>
      <c r="K287" t="s">
        <v>1647</v>
      </c>
      <c r="L287">
        <v>4199</v>
      </c>
      <c r="M287">
        <v>4199</v>
      </c>
      <c r="O287">
        <v>0</v>
      </c>
      <c r="P287">
        <v>0</v>
      </c>
      <c r="Q287" t="s">
        <v>45</v>
      </c>
      <c r="R287" t="s">
        <v>71</v>
      </c>
      <c r="S287" t="s">
        <v>164</v>
      </c>
      <c r="T287" t="s">
        <v>165</v>
      </c>
      <c r="U287" t="s">
        <v>47</v>
      </c>
      <c r="V287" s="4">
        <v>45663</v>
      </c>
      <c r="W287" t="s">
        <v>1648</v>
      </c>
      <c r="X287" t="s">
        <v>1650</v>
      </c>
      <c r="Y287" t="s">
        <v>35</v>
      </c>
      <c r="Z287" t="s">
        <v>49</v>
      </c>
      <c r="AA287" t="s">
        <v>50</v>
      </c>
      <c r="AB287" s="4">
        <v>45691</v>
      </c>
      <c r="AC287" t="s">
        <v>1652</v>
      </c>
      <c r="AD287" t="s">
        <v>1653</v>
      </c>
      <c r="AE287" t="s">
        <v>52</v>
      </c>
    </row>
    <row r="288" spans="1:31" x14ac:dyDescent="0.3">
      <c r="A288" t="s">
        <v>1385</v>
      </c>
      <c r="B288" s="4">
        <v>45643</v>
      </c>
      <c r="C288" t="s">
        <v>1646</v>
      </c>
      <c r="D288" t="s">
        <v>1386</v>
      </c>
      <c r="E288" t="s">
        <v>26</v>
      </c>
      <c r="F288" t="s">
        <v>1387</v>
      </c>
      <c r="G288" t="s">
        <v>58</v>
      </c>
      <c r="H288" t="s">
        <v>1388</v>
      </c>
      <c r="I288">
        <v>2799</v>
      </c>
      <c r="J288">
        <v>1</v>
      </c>
      <c r="K288" t="s">
        <v>1647</v>
      </c>
      <c r="L288">
        <v>2799</v>
      </c>
      <c r="M288">
        <v>2239.1999999999998</v>
      </c>
      <c r="N288" t="s">
        <v>1101</v>
      </c>
      <c r="O288">
        <v>20</v>
      </c>
      <c r="P288">
        <v>559.79999999999995</v>
      </c>
      <c r="Q288" t="s">
        <v>30</v>
      </c>
      <c r="R288" t="s">
        <v>31</v>
      </c>
      <c r="S288" t="s">
        <v>171</v>
      </c>
      <c r="T288" t="s">
        <v>172</v>
      </c>
      <c r="U288" t="s">
        <v>32</v>
      </c>
      <c r="V288" s="4">
        <v>45663</v>
      </c>
      <c r="W288" t="s">
        <v>1648</v>
      </c>
      <c r="X288" t="s">
        <v>1650</v>
      </c>
      <c r="Y288" t="s">
        <v>35</v>
      </c>
      <c r="Z288" t="s">
        <v>36</v>
      </c>
      <c r="AB288" s="4"/>
      <c r="AC288" t="s">
        <v>1649</v>
      </c>
      <c r="AD288" t="s">
        <v>1651</v>
      </c>
      <c r="AE288" t="s">
        <v>37</v>
      </c>
    </row>
    <row r="289" spans="1:31" x14ac:dyDescent="0.3">
      <c r="A289" t="s">
        <v>1389</v>
      </c>
      <c r="B289" s="4">
        <v>45643</v>
      </c>
      <c r="C289" t="s">
        <v>1646</v>
      </c>
      <c r="D289" t="s">
        <v>1390</v>
      </c>
      <c r="E289" t="s">
        <v>26</v>
      </c>
      <c r="F289" t="s">
        <v>1391</v>
      </c>
      <c r="G289" t="s">
        <v>67</v>
      </c>
      <c r="H289" t="s">
        <v>1392</v>
      </c>
      <c r="I289">
        <v>5499</v>
      </c>
      <c r="J289">
        <v>1</v>
      </c>
      <c r="K289" t="s">
        <v>1647</v>
      </c>
      <c r="L289">
        <v>5499</v>
      </c>
      <c r="M289">
        <v>5499</v>
      </c>
      <c r="O289">
        <v>0</v>
      </c>
      <c r="P289">
        <v>0</v>
      </c>
      <c r="Q289" t="s">
        <v>60</v>
      </c>
      <c r="R289" t="s">
        <v>46</v>
      </c>
      <c r="S289" t="s">
        <v>177</v>
      </c>
      <c r="T289" t="s">
        <v>109</v>
      </c>
      <c r="U289" t="s">
        <v>32</v>
      </c>
      <c r="V289" s="4">
        <v>45664</v>
      </c>
      <c r="W289" t="s">
        <v>1648</v>
      </c>
      <c r="X289" t="s">
        <v>1650</v>
      </c>
      <c r="Y289" t="s">
        <v>35</v>
      </c>
      <c r="Z289" t="s">
        <v>49</v>
      </c>
      <c r="AA289" t="s">
        <v>119</v>
      </c>
      <c r="AB289" s="4">
        <v>45692</v>
      </c>
      <c r="AC289" t="s">
        <v>1652</v>
      </c>
      <c r="AD289" t="s">
        <v>1653</v>
      </c>
      <c r="AE289" t="s">
        <v>52</v>
      </c>
    </row>
    <row r="290" spans="1:31" x14ac:dyDescent="0.3">
      <c r="A290" t="s">
        <v>1394</v>
      </c>
      <c r="B290" s="4">
        <v>45644</v>
      </c>
      <c r="C290" t="s">
        <v>1646</v>
      </c>
      <c r="D290" t="s">
        <v>1395</v>
      </c>
      <c r="E290" t="s">
        <v>40</v>
      </c>
      <c r="F290" t="s">
        <v>1396</v>
      </c>
      <c r="G290" t="s">
        <v>79</v>
      </c>
      <c r="H290" t="s">
        <v>1397</v>
      </c>
      <c r="I290">
        <v>699</v>
      </c>
      <c r="J290">
        <v>2</v>
      </c>
      <c r="K290" t="s">
        <v>1647</v>
      </c>
      <c r="L290">
        <v>1398</v>
      </c>
      <c r="M290">
        <v>1398</v>
      </c>
      <c r="O290">
        <v>0</v>
      </c>
      <c r="P290">
        <v>0</v>
      </c>
      <c r="Q290" t="s">
        <v>128</v>
      </c>
      <c r="R290" t="s">
        <v>71</v>
      </c>
      <c r="S290" t="s">
        <v>184</v>
      </c>
      <c r="T290" t="s">
        <v>185</v>
      </c>
      <c r="U290" t="s">
        <v>47</v>
      </c>
      <c r="V290" s="4">
        <v>45663</v>
      </c>
      <c r="W290" t="s">
        <v>1648</v>
      </c>
      <c r="X290" t="s">
        <v>1650</v>
      </c>
      <c r="Y290" t="s">
        <v>35</v>
      </c>
      <c r="Z290" t="s">
        <v>36</v>
      </c>
      <c r="AB290" s="4"/>
      <c r="AC290" t="s">
        <v>1649</v>
      </c>
      <c r="AD290" t="s">
        <v>1651</v>
      </c>
      <c r="AE290" t="s">
        <v>37</v>
      </c>
    </row>
    <row r="291" spans="1:31" x14ac:dyDescent="0.3">
      <c r="A291" t="s">
        <v>1398</v>
      </c>
      <c r="B291" s="4">
        <v>45644</v>
      </c>
      <c r="C291" t="s">
        <v>1646</v>
      </c>
      <c r="D291" t="s">
        <v>1399</v>
      </c>
      <c r="E291" t="s">
        <v>26</v>
      </c>
      <c r="F291" t="s">
        <v>1400</v>
      </c>
      <c r="G291" t="s">
        <v>28</v>
      </c>
      <c r="H291" t="s">
        <v>1401</v>
      </c>
      <c r="I291">
        <v>2299</v>
      </c>
      <c r="J291">
        <v>1</v>
      </c>
      <c r="K291" t="s">
        <v>1647</v>
      </c>
      <c r="L291">
        <v>2299</v>
      </c>
      <c r="M291">
        <v>1839.2</v>
      </c>
      <c r="N291" t="s">
        <v>1101</v>
      </c>
      <c r="O291">
        <v>20</v>
      </c>
      <c r="P291">
        <v>459.8</v>
      </c>
      <c r="Q291" t="s">
        <v>70</v>
      </c>
      <c r="R291" t="s">
        <v>31</v>
      </c>
      <c r="S291" t="s">
        <v>190</v>
      </c>
      <c r="T291" t="s">
        <v>172</v>
      </c>
      <c r="U291" t="s">
        <v>32</v>
      </c>
      <c r="V291" s="4">
        <v>45664</v>
      </c>
      <c r="W291" t="s">
        <v>1648</v>
      </c>
      <c r="X291" t="s">
        <v>1650</v>
      </c>
      <c r="Y291" t="s">
        <v>35</v>
      </c>
      <c r="Z291" t="s">
        <v>49</v>
      </c>
      <c r="AA291" t="s">
        <v>158</v>
      </c>
      <c r="AB291" s="4">
        <v>45691</v>
      </c>
      <c r="AC291" t="s">
        <v>1652</v>
      </c>
      <c r="AD291" t="s">
        <v>1653</v>
      </c>
      <c r="AE291" t="s">
        <v>52</v>
      </c>
    </row>
    <row r="292" spans="1:31" x14ac:dyDescent="0.3">
      <c r="A292" t="s">
        <v>1402</v>
      </c>
      <c r="B292" s="4">
        <v>45644</v>
      </c>
      <c r="C292" t="s">
        <v>1646</v>
      </c>
      <c r="D292" t="s">
        <v>1403</v>
      </c>
      <c r="E292" t="s">
        <v>26</v>
      </c>
      <c r="F292" t="s">
        <v>1404</v>
      </c>
      <c r="G292" t="s">
        <v>42</v>
      </c>
      <c r="H292" t="s">
        <v>1405</v>
      </c>
      <c r="I292">
        <v>3599</v>
      </c>
      <c r="J292">
        <v>1</v>
      </c>
      <c r="K292" t="s">
        <v>1647</v>
      </c>
      <c r="L292">
        <v>3599</v>
      </c>
      <c r="M292">
        <v>3599</v>
      </c>
      <c r="O292">
        <v>0</v>
      </c>
      <c r="P292">
        <v>0</v>
      </c>
      <c r="Q292" t="s">
        <v>45</v>
      </c>
      <c r="R292" t="s">
        <v>46</v>
      </c>
      <c r="S292" t="s">
        <v>195</v>
      </c>
      <c r="T292" t="s">
        <v>33</v>
      </c>
      <c r="U292" t="s">
        <v>32</v>
      </c>
      <c r="V292" s="4">
        <v>45665</v>
      </c>
      <c r="W292" t="s">
        <v>1648</v>
      </c>
      <c r="X292" t="s">
        <v>1650</v>
      </c>
      <c r="Y292" t="s">
        <v>35</v>
      </c>
      <c r="Z292" t="s">
        <v>36</v>
      </c>
      <c r="AB292" s="4"/>
      <c r="AC292" t="s">
        <v>1649</v>
      </c>
      <c r="AD292" t="s">
        <v>1651</v>
      </c>
      <c r="AE292" t="s">
        <v>37</v>
      </c>
    </row>
    <row r="293" spans="1:31" x14ac:dyDescent="0.3">
      <c r="A293" t="s">
        <v>1406</v>
      </c>
      <c r="B293" s="4">
        <v>45644</v>
      </c>
      <c r="C293" t="s">
        <v>1646</v>
      </c>
      <c r="D293" t="s">
        <v>1407</v>
      </c>
      <c r="E293" t="s">
        <v>26</v>
      </c>
      <c r="F293" t="s">
        <v>1408</v>
      </c>
      <c r="G293" t="s">
        <v>58</v>
      </c>
      <c r="H293" t="s">
        <v>1409</v>
      </c>
      <c r="I293">
        <v>2499</v>
      </c>
      <c r="J293">
        <v>1</v>
      </c>
      <c r="K293" t="s">
        <v>1647</v>
      </c>
      <c r="L293">
        <v>2499</v>
      </c>
      <c r="M293">
        <v>2499</v>
      </c>
      <c r="O293">
        <v>0</v>
      </c>
      <c r="P293">
        <v>0</v>
      </c>
      <c r="Q293" t="s">
        <v>30</v>
      </c>
      <c r="R293" t="s">
        <v>71</v>
      </c>
      <c r="S293" t="s">
        <v>202</v>
      </c>
      <c r="T293" t="s">
        <v>73</v>
      </c>
      <c r="U293" t="s">
        <v>61</v>
      </c>
      <c r="V293" s="4">
        <v>45665</v>
      </c>
      <c r="W293" t="s">
        <v>1648</v>
      </c>
      <c r="X293" t="s">
        <v>1650</v>
      </c>
      <c r="Y293" t="s">
        <v>35</v>
      </c>
      <c r="Z293" t="s">
        <v>49</v>
      </c>
      <c r="AA293" t="s">
        <v>50</v>
      </c>
      <c r="AB293" s="4">
        <v>45693</v>
      </c>
      <c r="AC293" t="s">
        <v>1652</v>
      </c>
      <c r="AD293" t="s">
        <v>1653</v>
      </c>
      <c r="AE293" t="s">
        <v>52</v>
      </c>
    </row>
    <row r="294" spans="1:31" x14ac:dyDescent="0.3">
      <c r="A294" t="s">
        <v>1411</v>
      </c>
      <c r="B294" s="4">
        <v>45645</v>
      </c>
      <c r="C294" t="s">
        <v>1646</v>
      </c>
      <c r="D294" t="s">
        <v>1412</v>
      </c>
      <c r="E294" t="s">
        <v>26</v>
      </c>
      <c r="F294" t="s">
        <v>1413</v>
      </c>
      <c r="G294" t="s">
        <v>67</v>
      </c>
      <c r="H294" t="s">
        <v>1414</v>
      </c>
      <c r="I294">
        <v>6799</v>
      </c>
      <c r="J294">
        <v>1</v>
      </c>
      <c r="K294" t="s">
        <v>1647</v>
      </c>
      <c r="L294">
        <v>6799</v>
      </c>
      <c r="M294">
        <v>5439.2</v>
      </c>
      <c r="N294" t="s">
        <v>1101</v>
      </c>
      <c r="O294">
        <v>20</v>
      </c>
      <c r="P294">
        <v>1359.8</v>
      </c>
      <c r="Q294" t="s">
        <v>60</v>
      </c>
      <c r="R294" t="s">
        <v>31</v>
      </c>
      <c r="S294" t="s">
        <v>208</v>
      </c>
      <c r="T294" t="s">
        <v>209</v>
      </c>
      <c r="U294" t="s">
        <v>61</v>
      </c>
      <c r="V294" s="4">
        <v>45666</v>
      </c>
      <c r="W294" t="s">
        <v>1648</v>
      </c>
      <c r="X294" t="s">
        <v>1650</v>
      </c>
      <c r="Y294" t="s">
        <v>35</v>
      </c>
      <c r="Z294" t="s">
        <v>49</v>
      </c>
      <c r="AA294" t="s">
        <v>89</v>
      </c>
      <c r="AB294" s="4">
        <v>45694</v>
      </c>
      <c r="AC294" t="s">
        <v>1652</v>
      </c>
      <c r="AD294" t="s">
        <v>1653</v>
      </c>
      <c r="AE294" t="s">
        <v>52</v>
      </c>
    </row>
    <row r="295" spans="1:31" x14ac:dyDescent="0.3">
      <c r="A295" t="s">
        <v>1416</v>
      </c>
      <c r="B295" s="4">
        <v>45645</v>
      </c>
      <c r="C295" t="s">
        <v>1646</v>
      </c>
      <c r="D295" t="s">
        <v>1417</v>
      </c>
      <c r="E295" t="s">
        <v>40</v>
      </c>
      <c r="F295" t="s">
        <v>1418</v>
      </c>
      <c r="G295" t="s">
        <v>79</v>
      </c>
      <c r="H295" t="s">
        <v>1419</v>
      </c>
      <c r="I295">
        <v>599</v>
      </c>
      <c r="J295">
        <v>3</v>
      </c>
      <c r="K295" t="s">
        <v>1647</v>
      </c>
      <c r="L295">
        <v>1797</v>
      </c>
      <c r="M295">
        <v>1797</v>
      </c>
      <c r="O295">
        <v>0</v>
      </c>
      <c r="P295">
        <v>0</v>
      </c>
      <c r="Q295" t="s">
        <v>128</v>
      </c>
      <c r="R295" t="s">
        <v>46</v>
      </c>
      <c r="S295" t="s">
        <v>215</v>
      </c>
      <c r="T295" t="s">
        <v>216</v>
      </c>
      <c r="U295" t="s">
        <v>61</v>
      </c>
      <c r="V295" s="4">
        <v>45665</v>
      </c>
      <c r="W295" t="s">
        <v>1648</v>
      </c>
      <c r="X295" t="s">
        <v>1650</v>
      </c>
      <c r="Y295" t="s">
        <v>35</v>
      </c>
      <c r="Z295" t="s">
        <v>36</v>
      </c>
      <c r="AB295" s="4"/>
      <c r="AC295" t="s">
        <v>1649</v>
      </c>
      <c r="AD295" t="s">
        <v>1651</v>
      </c>
      <c r="AE295" t="s">
        <v>37</v>
      </c>
    </row>
    <row r="296" spans="1:31" x14ac:dyDescent="0.3">
      <c r="A296" t="s">
        <v>1420</v>
      </c>
      <c r="B296" s="4">
        <v>45645</v>
      </c>
      <c r="C296" t="s">
        <v>1646</v>
      </c>
      <c r="D296" t="s">
        <v>1421</v>
      </c>
      <c r="E296" t="s">
        <v>26</v>
      </c>
      <c r="F296" t="s">
        <v>1422</v>
      </c>
      <c r="G296" t="s">
        <v>28</v>
      </c>
      <c r="H296" t="s">
        <v>1423</v>
      </c>
      <c r="I296">
        <v>1899</v>
      </c>
      <c r="J296">
        <v>1</v>
      </c>
      <c r="K296" t="s">
        <v>1647</v>
      </c>
      <c r="L296">
        <v>1899</v>
      </c>
      <c r="M296">
        <v>1899</v>
      </c>
      <c r="O296">
        <v>0</v>
      </c>
      <c r="P296">
        <v>0</v>
      </c>
      <c r="Q296" t="s">
        <v>70</v>
      </c>
      <c r="R296" t="s">
        <v>71</v>
      </c>
      <c r="S296" t="s">
        <v>221</v>
      </c>
      <c r="T296" t="s">
        <v>209</v>
      </c>
      <c r="U296" t="s">
        <v>61</v>
      </c>
      <c r="V296" s="4">
        <v>45666</v>
      </c>
      <c r="W296" t="s">
        <v>1648</v>
      </c>
      <c r="X296" t="s">
        <v>1650</v>
      </c>
      <c r="Y296" t="s">
        <v>35</v>
      </c>
      <c r="Z296" t="s">
        <v>49</v>
      </c>
      <c r="AA296" t="s">
        <v>75</v>
      </c>
      <c r="AB296" s="4">
        <v>45693</v>
      </c>
      <c r="AC296" t="s">
        <v>1652</v>
      </c>
      <c r="AD296" t="s">
        <v>1653</v>
      </c>
      <c r="AE296" t="s">
        <v>52</v>
      </c>
    </row>
    <row r="297" spans="1:31" x14ac:dyDescent="0.3">
      <c r="A297" t="s">
        <v>1424</v>
      </c>
      <c r="B297" s="4">
        <v>45645</v>
      </c>
      <c r="C297" t="s">
        <v>1646</v>
      </c>
      <c r="D297" t="s">
        <v>1425</v>
      </c>
      <c r="E297" t="s">
        <v>26</v>
      </c>
      <c r="F297" t="s">
        <v>1426</v>
      </c>
      <c r="G297" t="s">
        <v>42</v>
      </c>
      <c r="H297" t="s">
        <v>1427</v>
      </c>
      <c r="I297">
        <v>4499</v>
      </c>
      <c r="J297">
        <v>1</v>
      </c>
      <c r="K297" t="s">
        <v>1647</v>
      </c>
      <c r="L297">
        <v>4499</v>
      </c>
      <c r="M297">
        <v>3599.2</v>
      </c>
      <c r="N297" t="s">
        <v>1101</v>
      </c>
      <c r="O297">
        <v>20</v>
      </c>
      <c r="P297">
        <v>899.8</v>
      </c>
      <c r="Q297" t="s">
        <v>45</v>
      </c>
      <c r="R297" t="s">
        <v>31</v>
      </c>
      <c r="S297" t="s">
        <v>226</v>
      </c>
      <c r="T297" t="s">
        <v>62</v>
      </c>
      <c r="U297" t="s">
        <v>61</v>
      </c>
      <c r="V297" s="4">
        <v>45667</v>
      </c>
      <c r="W297" t="s">
        <v>1648</v>
      </c>
      <c r="X297" t="s">
        <v>1650</v>
      </c>
      <c r="Y297" t="s">
        <v>35</v>
      </c>
      <c r="Z297" t="s">
        <v>49</v>
      </c>
      <c r="AA297" t="s">
        <v>50</v>
      </c>
      <c r="AB297" s="4">
        <v>45695</v>
      </c>
      <c r="AC297" t="s">
        <v>1652</v>
      </c>
      <c r="AD297" t="s">
        <v>1653</v>
      </c>
      <c r="AE297" t="s">
        <v>52</v>
      </c>
    </row>
    <row r="298" spans="1:31" x14ac:dyDescent="0.3">
      <c r="A298" t="s">
        <v>1429</v>
      </c>
      <c r="B298" s="4">
        <v>45646</v>
      </c>
      <c r="C298" t="s">
        <v>1646</v>
      </c>
      <c r="D298" t="s">
        <v>1430</v>
      </c>
      <c r="E298" t="s">
        <v>26</v>
      </c>
      <c r="F298" t="s">
        <v>1431</v>
      </c>
      <c r="G298" t="s">
        <v>58</v>
      </c>
      <c r="H298" t="s">
        <v>1432</v>
      </c>
      <c r="I298">
        <v>2199</v>
      </c>
      <c r="J298">
        <v>1</v>
      </c>
      <c r="K298" t="s">
        <v>1647</v>
      </c>
      <c r="L298">
        <v>2199</v>
      </c>
      <c r="M298">
        <v>2199</v>
      </c>
      <c r="O298">
        <v>0</v>
      </c>
      <c r="P298">
        <v>0</v>
      </c>
      <c r="Q298" t="s">
        <v>30</v>
      </c>
      <c r="R298" t="s">
        <v>46</v>
      </c>
      <c r="S298" t="s">
        <v>233</v>
      </c>
      <c r="T298" t="s">
        <v>109</v>
      </c>
      <c r="U298" t="s">
        <v>32</v>
      </c>
      <c r="V298" s="4">
        <v>45667</v>
      </c>
      <c r="W298" t="s">
        <v>1648</v>
      </c>
      <c r="X298" t="s">
        <v>1650</v>
      </c>
      <c r="Y298" t="s">
        <v>35</v>
      </c>
      <c r="Z298" t="s">
        <v>36</v>
      </c>
      <c r="AB298" s="4"/>
      <c r="AC298" t="s">
        <v>1649</v>
      </c>
      <c r="AD298" t="s">
        <v>1651</v>
      </c>
      <c r="AE298" t="s">
        <v>37</v>
      </c>
    </row>
    <row r="299" spans="1:31" x14ac:dyDescent="0.3">
      <c r="A299" t="s">
        <v>1433</v>
      </c>
      <c r="B299" s="4">
        <v>45646</v>
      </c>
      <c r="C299" t="s">
        <v>1646</v>
      </c>
      <c r="D299" t="s">
        <v>1434</v>
      </c>
      <c r="E299" t="s">
        <v>26</v>
      </c>
      <c r="F299" t="s">
        <v>1435</v>
      </c>
      <c r="G299" t="s">
        <v>67</v>
      </c>
      <c r="H299" t="s">
        <v>1436</v>
      </c>
      <c r="I299">
        <v>5199</v>
      </c>
      <c r="J299">
        <v>1</v>
      </c>
      <c r="K299" t="s">
        <v>1647</v>
      </c>
      <c r="L299">
        <v>5199</v>
      </c>
      <c r="M299">
        <v>5199</v>
      </c>
      <c r="O299">
        <v>0</v>
      </c>
      <c r="P299">
        <v>0</v>
      </c>
      <c r="Q299" t="s">
        <v>60</v>
      </c>
      <c r="R299" t="s">
        <v>71</v>
      </c>
      <c r="S299" t="s">
        <v>238</v>
      </c>
      <c r="T299" t="s">
        <v>109</v>
      </c>
      <c r="U299" t="s">
        <v>32</v>
      </c>
      <c r="V299" s="4">
        <v>45668</v>
      </c>
      <c r="W299" t="s">
        <v>1648</v>
      </c>
      <c r="X299" t="s">
        <v>1650</v>
      </c>
      <c r="Y299" t="s">
        <v>35</v>
      </c>
      <c r="Z299" t="s">
        <v>49</v>
      </c>
      <c r="AA299" t="s">
        <v>119</v>
      </c>
      <c r="AB299" s="4">
        <v>45696</v>
      </c>
      <c r="AC299" t="s">
        <v>1652</v>
      </c>
      <c r="AD299" t="s">
        <v>1653</v>
      </c>
      <c r="AE299" t="s">
        <v>52</v>
      </c>
    </row>
    <row r="300" spans="1:31" x14ac:dyDescent="0.3">
      <c r="A300" t="s">
        <v>1438</v>
      </c>
      <c r="B300" s="4">
        <v>45646</v>
      </c>
      <c r="C300" t="s">
        <v>1646</v>
      </c>
      <c r="D300" t="s">
        <v>1439</v>
      </c>
      <c r="E300" t="s">
        <v>40</v>
      </c>
      <c r="F300" t="s">
        <v>1440</v>
      </c>
      <c r="G300" t="s">
        <v>79</v>
      </c>
      <c r="H300" t="s">
        <v>1441</v>
      </c>
      <c r="I300">
        <v>499</v>
      </c>
      <c r="J300">
        <v>2</v>
      </c>
      <c r="K300" t="s">
        <v>1647</v>
      </c>
      <c r="L300">
        <v>998</v>
      </c>
      <c r="M300">
        <v>798.4</v>
      </c>
      <c r="N300" t="s">
        <v>1101</v>
      </c>
      <c r="O300">
        <v>20</v>
      </c>
      <c r="P300">
        <v>199.6</v>
      </c>
      <c r="Q300" t="s">
        <v>128</v>
      </c>
      <c r="R300" t="s">
        <v>31</v>
      </c>
      <c r="S300" t="s">
        <v>243</v>
      </c>
      <c r="T300" t="s">
        <v>130</v>
      </c>
      <c r="U300" t="s">
        <v>47</v>
      </c>
      <c r="V300" s="4">
        <v>45667</v>
      </c>
      <c r="W300" t="s">
        <v>1648</v>
      </c>
      <c r="X300" t="s">
        <v>1650</v>
      </c>
      <c r="Y300" t="s">
        <v>35</v>
      </c>
      <c r="Z300" t="s">
        <v>36</v>
      </c>
      <c r="AB300" s="4"/>
      <c r="AC300" t="s">
        <v>1649</v>
      </c>
      <c r="AD300" t="s">
        <v>1651</v>
      </c>
      <c r="AE300" t="s">
        <v>37</v>
      </c>
    </row>
    <row r="301" spans="1:31" x14ac:dyDescent="0.3">
      <c r="A301" t="s">
        <v>1442</v>
      </c>
      <c r="B301" s="4">
        <v>45646</v>
      </c>
      <c r="C301" t="s">
        <v>1646</v>
      </c>
      <c r="D301" t="s">
        <v>1443</v>
      </c>
      <c r="E301" t="s">
        <v>26</v>
      </c>
      <c r="F301" t="s">
        <v>1444</v>
      </c>
      <c r="G301" t="s">
        <v>28</v>
      </c>
      <c r="H301" t="s">
        <v>1445</v>
      </c>
      <c r="I301">
        <v>2099</v>
      </c>
      <c r="J301">
        <v>1</v>
      </c>
      <c r="K301" t="s">
        <v>1647</v>
      </c>
      <c r="L301">
        <v>2099</v>
      </c>
      <c r="M301">
        <v>2099</v>
      </c>
      <c r="O301">
        <v>0</v>
      </c>
      <c r="P301">
        <v>0</v>
      </c>
      <c r="Q301" t="s">
        <v>70</v>
      </c>
      <c r="R301" t="s">
        <v>46</v>
      </c>
      <c r="S301" t="s">
        <v>32</v>
      </c>
      <c r="T301" t="s">
        <v>33</v>
      </c>
      <c r="U301" t="s">
        <v>32</v>
      </c>
      <c r="V301" s="4">
        <v>45668</v>
      </c>
      <c r="W301" t="s">
        <v>1648</v>
      </c>
      <c r="X301" t="s">
        <v>1650</v>
      </c>
      <c r="Y301" t="s">
        <v>35</v>
      </c>
      <c r="Z301" t="s">
        <v>49</v>
      </c>
      <c r="AA301" t="s">
        <v>158</v>
      </c>
      <c r="AB301" s="4">
        <v>45695</v>
      </c>
      <c r="AC301" t="s">
        <v>1652</v>
      </c>
      <c r="AD301" t="s">
        <v>1653</v>
      </c>
      <c r="AE301" t="s">
        <v>52</v>
      </c>
    </row>
    <row r="302" spans="1:31" x14ac:dyDescent="0.3">
      <c r="A302" t="s">
        <v>1446</v>
      </c>
      <c r="B302" s="4">
        <v>45647</v>
      </c>
      <c r="C302" t="s">
        <v>1646</v>
      </c>
      <c r="D302" t="s">
        <v>1447</v>
      </c>
      <c r="E302" t="s">
        <v>26</v>
      </c>
      <c r="F302" t="s">
        <v>1448</v>
      </c>
      <c r="G302" t="s">
        <v>42</v>
      </c>
      <c r="H302" t="s">
        <v>1449</v>
      </c>
      <c r="I302">
        <v>3999</v>
      </c>
      <c r="J302">
        <v>1</v>
      </c>
      <c r="K302" t="s">
        <v>1647</v>
      </c>
      <c r="L302">
        <v>3999</v>
      </c>
      <c r="M302">
        <v>3999</v>
      </c>
      <c r="O302">
        <v>0</v>
      </c>
      <c r="P302">
        <v>0</v>
      </c>
      <c r="Q302" t="s">
        <v>45</v>
      </c>
      <c r="R302" t="s">
        <v>71</v>
      </c>
      <c r="S302" t="s">
        <v>47</v>
      </c>
      <c r="T302" t="s">
        <v>47</v>
      </c>
      <c r="U302" t="s">
        <v>47</v>
      </c>
      <c r="V302" s="4">
        <v>45669</v>
      </c>
      <c r="W302" t="s">
        <v>1648</v>
      </c>
      <c r="X302" t="s">
        <v>1650</v>
      </c>
      <c r="Y302" t="s">
        <v>35</v>
      </c>
      <c r="Z302" t="s">
        <v>49</v>
      </c>
      <c r="AA302" t="s">
        <v>50</v>
      </c>
      <c r="AB302" s="4">
        <v>45697</v>
      </c>
      <c r="AC302" t="s">
        <v>1652</v>
      </c>
      <c r="AD302" t="s">
        <v>1653</v>
      </c>
      <c r="AE302" t="s">
        <v>52</v>
      </c>
    </row>
    <row r="303" spans="1:31" x14ac:dyDescent="0.3">
      <c r="A303" t="s">
        <v>1451</v>
      </c>
      <c r="B303" s="4">
        <v>45647</v>
      </c>
      <c r="C303" t="s">
        <v>1646</v>
      </c>
      <c r="D303" t="s">
        <v>1452</v>
      </c>
      <c r="E303" t="s">
        <v>26</v>
      </c>
      <c r="F303" t="s">
        <v>1453</v>
      </c>
      <c r="G303" t="s">
        <v>58</v>
      </c>
      <c r="H303" t="s">
        <v>1454</v>
      </c>
      <c r="I303">
        <v>2399</v>
      </c>
      <c r="J303">
        <v>1</v>
      </c>
      <c r="K303" t="s">
        <v>1647</v>
      </c>
      <c r="L303">
        <v>2399</v>
      </c>
      <c r="M303">
        <v>1919.2</v>
      </c>
      <c r="N303" t="s">
        <v>1101</v>
      </c>
      <c r="O303">
        <v>20</v>
      </c>
      <c r="P303">
        <v>479.8</v>
      </c>
      <c r="Q303" t="s">
        <v>30</v>
      </c>
      <c r="R303" t="s">
        <v>31</v>
      </c>
      <c r="S303" t="s">
        <v>101</v>
      </c>
      <c r="T303" t="s">
        <v>102</v>
      </c>
      <c r="U303" t="s">
        <v>47</v>
      </c>
      <c r="V303" s="4">
        <v>45669</v>
      </c>
      <c r="W303" t="s">
        <v>1648</v>
      </c>
      <c r="X303" t="s">
        <v>1650</v>
      </c>
      <c r="Y303" t="s">
        <v>35</v>
      </c>
      <c r="Z303" t="s">
        <v>36</v>
      </c>
      <c r="AB303" s="4"/>
      <c r="AC303" t="s">
        <v>1649</v>
      </c>
      <c r="AD303" t="s">
        <v>1651</v>
      </c>
      <c r="AE303" t="s">
        <v>37</v>
      </c>
    </row>
    <row r="304" spans="1:31" x14ac:dyDescent="0.3">
      <c r="A304" t="s">
        <v>1455</v>
      </c>
      <c r="B304" s="4">
        <v>45647</v>
      </c>
      <c r="C304" t="s">
        <v>1646</v>
      </c>
      <c r="D304" t="s">
        <v>1456</v>
      </c>
      <c r="E304" t="s">
        <v>26</v>
      </c>
      <c r="F304" t="s">
        <v>1457</v>
      </c>
      <c r="G304" t="s">
        <v>67</v>
      </c>
      <c r="H304" t="s">
        <v>1458</v>
      </c>
      <c r="I304">
        <v>7299</v>
      </c>
      <c r="J304">
        <v>1</v>
      </c>
      <c r="K304" t="s">
        <v>1647</v>
      </c>
      <c r="L304">
        <v>7299</v>
      </c>
      <c r="M304">
        <v>7299</v>
      </c>
      <c r="O304">
        <v>0</v>
      </c>
      <c r="P304">
        <v>0</v>
      </c>
      <c r="Q304" t="s">
        <v>60</v>
      </c>
      <c r="R304" t="s">
        <v>46</v>
      </c>
      <c r="S304" t="s">
        <v>72</v>
      </c>
      <c r="T304" t="s">
        <v>73</v>
      </c>
      <c r="U304" t="s">
        <v>61</v>
      </c>
      <c r="V304" s="4">
        <v>45670</v>
      </c>
      <c r="W304" t="s">
        <v>1648</v>
      </c>
      <c r="X304" t="s">
        <v>1650</v>
      </c>
      <c r="Y304" t="s">
        <v>35</v>
      </c>
      <c r="Z304" t="s">
        <v>49</v>
      </c>
      <c r="AA304" t="s">
        <v>89</v>
      </c>
      <c r="AB304" s="4">
        <v>45698</v>
      </c>
      <c r="AC304" t="s">
        <v>1652</v>
      </c>
      <c r="AD304" t="s">
        <v>1653</v>
      </c>
      <c r="AE304" t="s">
        <v>52</v>
      </c>
    </row>
    <row r="305" spans="1:31" x14ac:dyDescent="0.3">
      <c r="A305" t="s">
        <v>1461</v>
      </c>
      <c r="B305" s="4">
        <v>45647</v>
      </c>
      <c r="C305" t="s">
        <v>1646</v>
      </c>
      <c r="D305" t="s">
        <v>1462</v>
      </c>
      <c r="E305" t="s">
        <v>40</v>
      </c>
      <c r="F305" t="s">
        <v>1463</v>
      </c>
      <c r="G305" t="s">
        <v>79</v>
      </c>
      <c r="H305" t="s">
        <v>1464</v>
      </c>
      <c r="I305">
        <v>899</v>
      </c>
      <c r="J305">
        <v>1</v>
      </c>
      <c r="K305" t="s">
        <v>1647</v>
      </c>
      <c r="L305">
        <v>899</v>
      </c>
      <c r="M305">
        <v>899</v>
      </c>
      <c r="O305">
        <v>0</v>
      </c>
      <c r="P305">
        <v>0</v>
      </c>
      <c r="Q305" t="s">
        <v>128</v>
      </c>
      <c r="R305" t="s">
        <v>71</v>
      </c>
      <c r="S305" t="s">
        <v>86</v>
      </c>
      <c r="T305" t="s">
        <v>87</v>
      </c>
      <c r="U305" t="s">
        <v>61</v>
      </c>
      <c r="V305" s="4">
        <v>45669</v>
      </c>
      <c r="W305" t="s">
        <v>1648</v>
      </c>
      <c r="X305" t="s">
        <v>1650</v>
      </c>
      <c r="Y305" t="s">
        <v>35</v>
      </c>
      <c r="Z305" t="s">
        <v>49</v>
      </c>
      <c r="AA305" t="s">
        <v>75</v>
      </c>
      <c r="AB305" s="4">
        <v>45696</v>
      </c>
      <c r="AC305" t="s">
        <v>1652</v>
      </c>
      <c r="AD305" t="s">
        <v>1653</v>
      </c>
      <c r="AE305" t="s">
        <v>52</v>
      </c>
    </row>
    <row r="306" spans="1:31" x14ac:dyDescent="0.3">
      <c r="A306" t="s">
        <v>1465</v>
      </c>
      <c r="B306" s="4">
        <v>45648</v>
      </c>
      <c r="C306" t="s">
        <v>1646</v>
      </c>
      <c r="D306" t="s">
        <v>1466</v>
      </c>
      <c r="E306" t="s">
        <v>26</v>
      </c>
      <c r="F306" t="s">
        <v>1467</v>
      </c>
      <c r="G306" t="s">
        <v>28</v>
      </c>
      <c r="H306" t="s">
        <v>1468</v>
      </c>
      <c r="I306">
        <v>1999</v>
      </c>
      <c r="J306">
        <v>1</v>
      </c>
      <c r="K306" t="s">
        <v>1647</v>
      </c>
      <c r="L306">
        <v>1999</v>
      </c>
      <c r="M306">
        <v>1599.2</v>
      </c>
      <c r="N306" t="s">
        <v>1101</v>
      </c>
      <c r="O306">
        <v>20</v>
      </c>
      <c r="P306">
        <v>399.8</v>
      </c>
      <c r="Q306" t="s">
        <v>70</v>
      </c>
      <c r="R306" t="s">
        <v>31</v>
      </c>
      <c r="S306" t="s">
        <v>95</v>
      </c>
      <c r="T306" t="s">
        <v>33</v>
      </c>
      <c r="U306" t="s">
        <v>32</v>
      </c>
      <c r="V306" s="4">
        <v>45670</v>
      </c>
      <c r="W306" t="s">
        <v>1648</v>
      </c>
      <c r="X306" t="s">
        <v>1650</v>
      </c>
      <c r="Y306" t="s">
        <v>35</v>
      </c>
      <c r="Z306" t="s">
        <v>36</v>
      </c>
      <c r="AB306" s="4"/>
      <c r="AC306" t="s">
        <v>1649</v>
      </c>
      <c r="AD306" t="s">
        <v>1651</v>
      </c>
      <c r="AE306" t="s">
        <v>37</v>
      </c>
    </row>
    <row r="307" spans="1:31" x14ac:dyDescent="0.3">
      <c r="A307" t="s">
        <v>1469</v>
      </c>
      <c r="B307" s="4">
        <v>45648</v>
      </c>
      <c r="C307" t="s">
        <v>1646</v>
      </c>
      <c r="D307" t="s">
        <v>1470</v>
      </c>
      <c r="E307" t="s">
        <v>26</v>
      </c>
      <c r="F307" t="s">
        <v>1471</v>
      </c>
      <c r="G307" t="s">
        <v>42</v>
      </c>
      <c r="H307" t="s">
        <v>1472</v>
      </c>
      <c r="I307">
        <v>4699</v>
      </c>
      <c r="J307">
        <v>1</v>
      </c>
      <c r="K307" t="s">
        <v>1647</v>
      </c>
      <c r="L307">
        <v>4699</v>
      </c>
      <c r="M307">
        <v>4699</v>
      </c>
      <c r="O307">
        <v>0</v>
      </c>
      <c r="P307">
        <v>0</v>
      </c>
      <c r="Q307" t="s">
        <v>45</v>
      </c>
      <c r="R307" t="s">
        <v>46</v>
      </c>
      <c r="S307" t="s">
        <v>108</v>
      </c>
      <c r="T307" t="s">
        <v>109</v>
      </c>
      <c r="U307" t="s">
        <v>32</v>
      </c>
      <c r="V307" s="4">
        <v>45671</v>
      </c>
      <c r="W307" t="s">
        <v>1648</v>
      </c>
      <c r="X307" t="s">
        <v>1650</v>
      </c>
      <c r="Y307" t="s">
        <v>35</v>
      </c>
      <c r="Z307" t="s">
        <v>49</v>
      </c>
      <c r="AA307" t="s">
        <v>50</v>
      </c>
      <c r="AB307" s="4">
        <v>45699</v>
      </c>
      <c r="AC307" t="s">
        <v>1652</v>
      </c>
      <c r="AD307" t="s">
        <v>1653</v>
      </c>
      <c r="AE307" t="s">
        <v>52</v>
      </c>
    </row>
    <row r="308" spans="1:31" x14ac:dyDescent="0.3">
      <c r="A308" t="s">
        <v>1474</v>
      </c>
      <c r="B308" s="4">
        <v>45648</v>
      </c>
      <c r="C308" t="s">
        <v>1646</v>
      </c>
      <c r="D308" t="s">
        <v>1475</v>
      </c>
      <c r="E308" t="s">
        <v>26</v>
      </c>
      <c r="F308" t="s">
        <v>1476</v>
      </c>
      <c r="G308" t="s">
        <v>58</v>
      </c>
      <c r="H308" t="s">
        <v>1477</v>
      </c>
      <c r="I308">
        <v>2299</v>
      </c>
      <c r="J308">
        <v>1</v>
      </c>
      <c r="K308" t="s">
        <v>1647</v>
      </c>
      <c r="L308">
        <v>2299</v>
      </c>
      <c r="M308">
        <v>2299</v>
      </c>
      <c r="O308">
        <v>0</v>
      </c>
      <c r="P308">
        <v>0</v>
      </c>
      <c r="Q308" t="s">
        <v>30</v>
      </c>
      <c r="R308" t="s">
        <v>71</v>
      </c>
      <c r="S308" t="s">
        <v>116</v>
      </c>
      <c r="T308" t="s">
        <v>117</v>
      </c>
      <c r="U308" t="s">
        <v>47</v>
      </c>
      <c r="V308" s="4">
        <v>45671</v>
      </c>
      <c r="W308" t="s">
        <v>1648</v>
      </c>
      <c r="X308" t="s">
        <v>1650</v>
      </c>
      <c r="Y308" t="s">
        <v>35</v>
      </c>
      <c r="Z308" t="s">
        <v>36</v>
      </c>
      <c r="AB308" s="4"/>
      <c r="AC308" t="s">
        <v>1649</v>
      </c>
      <c r="AD308" t="s">
        <v>1651</v>
      </c>
      <c r="AE308" t="s">
        <v>37</v>
      </c>
    </row>
    <row r="309" spans="1:31" x14ac:dyDescent="0.3">
      <c r="A309" t="s">
        <v>1478</v>
      </c>
      <c r="B309" s="4">
        <v>45648</v>
      </c>
      <c r="C309" t="s">
        <v>1646</v>
      </c>
      <c r="D309" t="s">
        <v>1479</v>
      </c>
      <c r="E309" t="s">
        <v>26</v>
      </c>
      <c r="F309" t="s">
        <v>1480</v>
      </c>
      <c r="G309" t="s">
        <v>67</v>
      </c>
      <c r="H309" t="s">
        <v>1481</v>
      </c>
      <c r="I309">
        <v>5399</v>
      </c>
      <c r="J309">
        <v>1</v>
      </c>
      <c r="K309" t="s">
        <v>1647</v>
      </c>
      <c r="L309">
        <v>5399</v>
      </c>
      <c r="M309">
        <v>4319.2</v>
      </c>
      <c r="N309" t="s">
        <v>1101</v>
      </c>
      <c r="O309">
        <v>20</v>
      </c>
      <c r="P309">
        <v>1079.8</v>
      </c>
      <c r="Q309" t="s">
        <v>60</v>
      </c>
      <c r="R309" t="s">
        <v>31</v>
      </c>
      <c r="S309" t="s">
        <v>129</v>
      </c>
      <c r="T309" t="s">
        <v>130</v>
      </c>
      <c r="U309" t="s">
        <v>47</v>
      </c>
      <c r="V309" s="4">
        <v>45672</v>
      </c>
      <c r="W309" t="s">
        <v>1648</v>
      </c>
      <c r="X309" t="s">
        <v>1650</v>
      </c>
      <c r="Y309" t="s">
        <v>35</v>
      </c>
      <c r="Z309" t="s">
        <v>49</v>
      </c>
      <c r="AA309" t="s">
        <v>119</v>
      </c>
      <c r="AB309" s="4">
        <v>45700</v>
      </c>
      <c r="AC309" t="s">
        <v>1652</v>
      </c>
      <c r="AD309" t="s">
        <v>1653</v>
      </c>
      <c r="AE309" t="s">
        <v>52</v>
      </c>
    </row>
    <row r="310" spans="1:31" x14ac:dyDescent="0.3">
      <c r="A310" t="s">
        <v>1483</v>
      </c>
      <c r="B310" s="4">
        <v>45649</v>
      </c>
      <c r="C310" t="s">
        <v>1646</v>
      </c>
      <c r="D310" t="s">
        <v>1484</v>
      </c>
      <c r="E310" t="s">
        <v>40</v>
      </c>
      <c r="F310" t="s">
        <v>1485</v>
      </c>
      <c r="G310" t="s">
        <v>79</v>
      </c>
      <c r="H310" t="s">
        <v>1486</v>
      </c>
      <c r="I310">
        <v>1199</v>
      </c>
      <c r="J310">
        <v>1</v>
      </c>
      <c r="K310" t="s">
        <v>1647</v>
      </c>
      <c r="L310">
        <v>1199</v>
      </c>
      <c r="M310">
        <v>1199</v>
      </c>
      <c r="O310">
        <v>0</v>
      </c>
      <c r="P310">
        <v>0</v>
      </c>
      <c r="Q310" t="s">
        <v>128</v>
      </c>
      <c r="R310" t="s">
        <v>46</v>
      </c>
      <c r="S310" t="s">
        <v>61</v>
      </c>
      <c r="T310" t="s">
        <v>62</v>
      </c>
      <c r="U310" t="s">
        <v>61</v>
      </c>
      <c r="V310" s="4">
        <v>45671</v>
      </c>
      <c r="W310" t="s">
        <v>1648</v>
      </c>
      <c r="X310" t="s">
        <v>1650</v>
      </c>
      <c r="Y310" t="s">
        <v>35</v>
      </c>
      <c r="Z310" t="s">
        <v>36</v>
      </c>
      <c r="AB310" s="4"/>
      <c r="AC310" t="s">
        <v>1649</v>
      </c>
      <c r="AD310" t="s">
        <v>1651</v>
      </c>
      <c r="AE310" t="s">
        <v>37</v>
      </c>
    </row>
    <row r="311" spans="1:31" x14ac:dyDescent="0.3">
      <c r="A311" t="s">
        <v>1487</v>
      </c>
      <c r="B311" s="4">
        <v>45649</v>
      </c>
      <c r="C311" t="s">
        <v>1646</v>
      </c>
      <c r="D311" t="s">
        <v>1488</v>
      </c>
      <c r="E311" t="s">
        <v>26</v>
      </c>
      <c r="F311" t="s">
        <v>1489</v>
      </c>
      <c r="G311" t="s">
        <v>28</v>
      </c>
      <c r="H311" t="s">
        <v>1490</v>
      </c>
      <c r="I311">
        <v>2199</v>
      </c>
      <c r="J311">
        <v>1</v>
      </c>
      <c r="K311" t="s">
        <v>1647</v>
      </c>
      <c r="L311">
        <v>2199</v>
      </c>
      <c r="M311">
        <v>2199</v>
      </c>
      <c r="O311">
        <v>0</v>
      </c>
      <c r="P311">
        <v>0</v>
      </c>
      <c r="Q311" t="s">
        <v>70</v>
      </c>
      <c r="R311" t="s">
        <v>71</v>
      </c>
      <c r="S311" t="s">
        <v>32</v>
      </c>
      <c r="T311" t="s">
        <v>33</v>
      </c>
      <c r="U311" t="s">
        <v>32</v>
      </c>
      <c r="V311" s="4">
        <v>45672</v>
      </c>
      <c r="W311" t="s">
        <v>1648</v>
      </c>
      <c r="X311" t="s">
        <v>1650</v>
      </c>
      <c r="Y311" t="s">
        <v>35</v>
      </c>
      <c r="Z311" t="s">
        <v>49</v>
      </c>
      <c r="AA311" t="s">
        <v>158</v>
      </c>
      <c r="AB311" s="4">
        <v>45699</v>
      </c>
      <c r="AC311" t="s">
        <v>1652</v>
      </c>
      <c r="AD311" t="s">
        <v>1653</v>
      </c>
      <c r="AE311" t="s">
        <v>52</v>
      </c>
    </row>
    <row r="312" spans="1:31" x14ac:dyDescent="0.3">
      <c r="A312" t="s">
        <v>1491</v>
      </c>
      <c r="B312" s="4">
        <v>45649</v>
      </c>
      <c r="C312" t="s">
        <v>1646</v>
      </c>
      <c r="D312" t="s">
        <v>1492</v>
      </c>
      <c r="E312" t="s">
        <v>26</v>
      </c>
      <c r="F312" t="s">
        <v>1493</v>
      </c>
      <c r="G312" t="s">
        <v>42</v>
      </c>
      <c r="H312" t="s">
        <v>1494</v>
      </c>
      <c r="I312">
        <v>3799</v>
      </c>
      <c r="J312">
        <v>1</v>
      </c>
      <c r="K312" t="s">
        <v>1647</v>
      </c>
      <c r="L312">
        <v>3799</v>
      </c>
      <c r="M312">
        <v>3039.2</v>
      </c>
      <c r="N312" t="s">
        <v>1101</v>
      </c>
      <c r="O312">
        <v>20</v>
      </c>
      <c r="P312">
        <v>759.8</v>
      </c>
      <c r="Q312" t="s">
        <v>45</v>
      </c>
      <c r="R312" t="s">
        <v>31</v>
      </c>
      <c r="S312" t="s">
        <v>47</v>
      </c>
      <c r="T312" t="s">
        <v>47</v>
      </c>
      <c r="U312" t="s">
        <v>47</v>
      </c>
      <c r="V312" s="4">
        <v>45673</v>
      </c>
      <c r="W312" t="s">
        <v>1648</v>
      </c>
      <c r="X312" t="s">
        <v>1650</v>
      </c>
      <c r="Y312" t="s">
        <v>35</v>
      </c>
      <c r="Z312" t="s">
        <v>49</v>
      </c>
      <c r="AA312" t="s">
        <v>50</v>
      </c>
      <c r="AB312" s="4">
        <v>45701</v>
      </c>
      <c r="AC312" t="s">
        <v>1652</v>
      </c>
      <c r="AD312" t="s">
        <v>1653</v>
      </c>
      <c r="AE312" t="s">
        <v>52</v>
      </c>
    </row>
    <row r="313" spans="1:31" x14ac:dyDescent="0.3">
      <c r="A313" t="s">
        <v>1496</v>
      </c>
      <c r="B313" s="4">
        <v>45649</v>
      </c>
      <c r="C313" t="s">
        <v>1646</v>
      </c>
      <c r="D313" t="s">
        <v>1497</v>
      </c>
      <c r="E313" t="s">
        <v>26</v>
      </c>
      <c r="F313" t="s">
        <v>1498</v>
      </c>
      <c r="G313" t="s">
        <v>58</v>
      </c>
      <c r="H313" t="s">
        <v>1499</v>
      </c>
      <c r="I313">
        <v>2499</v>
      </c>
      <c r="J313">
        <v>1</v>
      </c>
      <c r="K313" t="s">
        <v>1647</v>
      </c>
      <c r="L313">
        <v>2499</v>
      </c>
      <c r="M313">
        <v>2499</v>
      </c>
      <c r="O313">
        <v>0</v>
      </c>
      <c r="P313">
        <v>0</v>
      </c>
      <c r="Q313" t="s">
        <v>30</v>
      </c>
      <c r="R313" t="s">
        <v>46</v>
      </c>
      <c r="S313" t="s">
        <v>135</v>
      </c>
      <c r="T313" t="s">
        <v>136</v>
      </c>
      <c r="U313" t="s">
        <v>47</v>
      </c>
      <c r="V313" s="4">
        <v>45673</v>
      </c>
      <c r="W313" t="s">
        <v>1648</v>
      </c>
      <c r="X313" t="s">
        <v>1650</v>
      </c>
      <c r="Y313" t="s">
        <v>35</v>
      </c>
      <c r="Z313" t="s">
        <v>36</v>
      </c>
      <c r="AB313" s="4"/>
      <c r="AC313" t="s">
        <v>1649</v>
      </c>
      <c r="AD313" t="s">
        <v>1651</v>
      </c>
      <c r="AE313" t="s">
        <v>37</v>
      </c>
    </row>
    <row r="314" spans="1:31" x14ac:dyDescent="0.3">
      <c r="A314" t="s">
        <v>1500</v>
      </c>
      <c r="B314" s="4">
        <v>45650</v>
      </c>
      <c r="C314" t="s">
        <v>1646</v>
      </c>
      <c r="D314" t="s">
        <v>1501</v>
      </c>
      <c r="E314" t="s">
        <v>26</v>
      </c>
      <c r="F314" t="s">
        <v>1502</v>
      </c>
      <c r="G314" t="s">
        <v>67</v>
      </c>
      <c r="H314" t="s">
        <v>1503</v>
      </c>
      <c r="I314">
        <v>6499</v>
      </c>
      <c r="J314">
        <v>1</v>
      </c>
      <c r="K314" t="s">
        <v>1647</v>
      </c>
      <c r="L314">
        <v>6499</v>
      </c>
      <c r="M314">
        <v>6499</v>
      </c>
      <c r="O314">
        <v>0</v>
      </c>
      <c r="P314">
        <v>0</v>
      </c>
      <c r="Q314" t="s">
        <v>60</v>
      </c>
      <c r="R314" t="s">
        <v>71</v>
      </c>
      <c r="S314" t="s">
        <v>156</v>
      </c>
      <c r="T314" t="s">
        <v>130</v>
      </c>
      <c r="U314" t="s">
        <v>47</v>
      </c>
      <c r="V314" s="4">
        <v>45674</v>
      </c>
      <c r="W314" t="s">
        <v>1648</v>
      </c>
      <c r="X314" t="s">
        <v>1650</v>
      </c>
      <c r="Y314" t="s">
        <v>35</v>
      </c>
      <c r="Z314" t="s">
        <v>49</v>
      </c>
      <c r="AA314" t="s">
        <v>89</v>
      </c>
      <c r="AB314" s="4">
        <v>45702</v>
      </c>
      <c r="AC314" t="s">
        <v>1652</v>
      </c>
      <c r="AD314" t="s">
        <v>1653</v>
      </c>
      <c r="AE314" t="s">
        <v>52</v>
      </c>
    </row>
    <row r="315" spans="1:31" x14ac:dyDescent="0.3">
      <c r="A315" t="s">
        <v>1506</v>
      </c>
      <c r="B315" s="4">
        <v>45650</v>
      </c>
      <c r="C315" t="s">
        <v>1646</v>
      </c>
      <c r="D315" t="s">
        <v>1507</v>
      </c>
      <c r="E315" t="s">
        <v>40</v>
      </c>
      <c r="F315" t="s">
        <v>1508</v>
      </c>
      <c r="G315" t="s">
        <v>79</v>
      </c>
      <c r="H315" t="s">
        <v>1509</v>
      </c>
      <c r="I315">
        <v>499</v>
      </c>
      <c r="J315">
        <v>3</v>
      </c>
      <c r="K315" t="s">
        <v>1647</v>
      </c>
      <c r="L315">
        <v>1497</v>
      </c>
      <c r="M315">
        <v>1197.5999999999999</v>
      </c>
      <c r="N315" t="s">
        <v>1101</v>
      </c>
      <c r="O315">
        <v>20</v>
      </c>
      <c r="P315">
        <v>299.39999999999998</v>
      </c>
      <c r="Q315" t="s">
        <v>128</v>
      </c>
      <c r="R315" t="s">
        <v>31</v>
      </c>
      <c r="S315" t="s">
        <v>164</v>
      </c>
      <c r="T315" t="s">
        <v>165</v>
      </c>
      <c r="U315" t="s">
        <v>47</v>
      </c>
      <c r="V315" s="4">
        <v>45673</v>
      </c>
      <c r="W315" t="s">
        <v>1648</v>
      </c>
      <c r="X315" t="s">
        <v>1650</v>
      </c>
      <c r="Y315" t="s">
        <v>35</v>
      </c>
      <c r="Z315" t="s">
        <v>36</v>
      </c>
      <c r="AB315" s="4"/>
      <c r="AC315" t="s">
        <v>1649</v>
      </c>
      <c r="AD315" t="s">
        <v>1651</v>
      </c>
      <c r="AE315" t="s">
        <v>37</v>
      </c>
    </row>
    <row r="316" spans="1:31" x14ac:dyDescent="0.3">
      <c r="A316" t="s">
        <v>1510</v>
      </c>
      <c r="B316" s="4">
        <v>45650</v>
      </c>
      <c r="C316" t="s">
        <v>1646</v>
      </c>
      <c r="D316" t="s">
        <v>1511</v>
      </c>
      <c r="E316" t="s">
        <v>26</v>
      </c>
      <c r="F316" t="s">
        <v>1512</v>
      </c>
      <c r="G316" t="s">
        <v>28</v>
      </c>
      <c r="H316" t="s">
        <v>1513</v>
      </c>
      <c r="I316">
        <v>1799</v>
      </c>
      <c r="J316">
        <v>1</v>
      </c>
      <c r="K316" t="s">
        <v>1647</v>
      </c>
      <c r="L316">
        <v>1799</v>
      </c>
      <c r="M316">
        <v>1799</v>
      </c>
      <c r="O316">
        <v>0</v>
      </c>
      <c r="P316">
        <v>0</v>
      </c>
      <c r="Q316" t="s">
        <v>70</v>
      </c>
      <c r="R316" t="s">
        <v>46</v>
      </c>
      <c r="S316" t="s">
        <v>171</v>
      </c>
      <c r="T316" t="s">
        <v>172</v>
      </c>
      <c r="U316" t="s">
        <v>32</v>
      </c>
      <c r="V316" s="4">
        <v>45674</v>
      </c>
      <c r="W316" t="s">
        <v>1648</v>
      </c>
      <c r="X316" t="s">
        <v>1650</v>
      </c>
      <c r="Y316" t="s">
        <v>35</v>
      </c>
      <c r="Z316" t="s">
        <v>49</v>
      </c>
      <c r="AA316" t="s">
        <v>75</v>
      </c>
      <c r="AB316" s="4">
        <v>45701</v>
      </c>
      <c r="AC316" t="s">
        <v>1652</v>
      </c>
      <c r="AD316" t="s">
        <v>1653</v>
      </c>
      <c r="AE316" t="s">
        <v>52</v>
      </c>
    </row>
    <row r="317" spans="1:31" x14ac:dyDescent="0.3">
      <c r="A317" t="s">
        <v>1514</v>
      </c>
      <c r="B317" s="4">
        <v>45650</v>
      </c>
      <c r="C317" t="s">
        <v>1646</v>
      </c>
      <c r="D317" t="s">
        <v>1515</v>
      </c>
      <c r="E317" t="s">
        <v>26</v>
      </c>
      <c r="F317" t="s">
        <v>1516</v>
      </c>
      <c r="G317" t="s">
        <v>42</v>
      </c>
      <c r="H317" t="s">
        <v>1517</v>
      </c>
      <c r="I317">
        <v>4299</v>
      </c>
      <c r="J317">
        <v>1</v>
      </c>
      <c r="K317" t="s">
        <v>1647</v>
      </c>
      <c r="L317">
        <v>4299</v>
      </c>
      <c r="M317">
        <v>4299</v>
      </c>
      <c r="O317">
        <v>0</v>
      </c>
      <c r="P317">
        <v>0</v>
      </c>
      <c r="Q317" t="s">
        <v>45</v>
      </c>
      <c r="R317" t="s">
        <v>71</v>
      </c>
      <c r="S317" t="s">
        <v>177</v>
      </c>
      <c r="T317" t="s">
        <v>109</v>
      </c>
      <c r="U317" t="s">
        <v>32</v>
      </c>
      <c r="V317" s="4">
        <v>45675</v>
      </c>
      <c r="W317" t="s">
        <v>1648</v>
      </c>
      <c r="X317" t="s">
        <v>1650</v>
      </c>
      <c r="Y317" t="s">
        <v>35</v>
      </c>
      <c r="Z317" t="s">
        <v>49</v>
      </c>
      <c r="AA317" t="s">
        <v>50</v>
      </c>
      <c r="AB317" s="4">
        <v>45703</v>
      </c>
      <c r="AC317" t="s">
        <v>1652</v>
      </c>
      <c r="AD317" t="s">
        <v>1653</v>
      </c>
      <c r="AE317" t="s">
        <v>52</v>
      </c>
    </row>
    <row r="318" spans="1:31" x14ac:dyDescent="0.3">
      <c r="A318" t="s">
        <v>1519</v>
      </c>
      <c r="B318" s="4">
        <v>45651</v>
      </c>
      <c r="C318" t="s">
        <v>1646</v>
      </c>
      <c r="D318" t="s">
        <v>1520</v>
      </c>
      <c r="E318" t="s">
        <v>26</v>
      </c>
      <c r="F318" t="s">
        <v>1521</v>
      </c>
      <c r="G318" t="s">
        <v>58</v>
      </c>
      <c r="H318" t="s">
        <v>1522</v>
      </c>
      <c r="I318">
        <v>1899</v>
      </c>
      <c r="J318">
        <v>1</v>
      </c>
      <c r="K318" t="s">
        <v>1647</v>
      </c>
      <c r="L318">
        <v>1899</v>
      </c>
      <c r="M318">
        <v>1519.2</v>
      </c>
      <c r="N318" t="s">
        <v>1101</v>
      </c>
      <c r="O318">
        <v>20</v>
      </c>
      <c r="P318">
        <v>379.8</v>
      </c>
      <c r="Q318" t="s">
        <v>30</v>
      </c>
      <c r="R318" t="s">
        <v>31</v>
      </c>
      <c r="S318" t="s">
        <v>184</v>
      </c>
      <c r="T318" t="s">
        <v>185</v>
      </c>
      <c r="U318" t="s">
        <v>47</v>
      </c>
      <c r="V318" s="4">
        <v>45675</v>
      </c>
      <c r="W318" t="s">
        <v>1648</v>
      </c>
      <c r="X318" t="s">
        <v>1650</v>
      </c>
      <c r="Y318" t="s">
        <v>35</v>
      </c>
      <c r="Z318" t="s">
        <v>36</v>
      </c>
      <c r="AB318" s="4"/>
      <c r="AC318" t="s">
        <v>1649</v>
      </c>
      <c r="AD318" t="s">
        <v>1651</v>
      </c>
      <c r="AE318" t="s">
        <v>37</v>
      </c>
    </row>
    <row r="319" spans="1:31" x14ac:dyDescent="0.3">
      <c r="A319" t="s">
        <v>1523</v>
      </c>
      <c r="B319" s="4">
        <v>45651</v>
      </c>
      <c r="C319" t="s">
        <v>1646</v>
      </c>
      <c r="D319" t="s">
        <v>1524</v>
      </c>
      <c r="E319" t="s">
        <v>26</v>
      </c>
      <c r="F319" t="s">
        <v>1525</v>
      </c>
      <c r="G319" t="s">
        <v>67</v>
      </c>
      <c r="H319" t="s">
        <v>1526</v>
      </c>
      <c r="I319">
        <v>4999</v>
      </c>
      <c r="J319">
        <v>1</v>
      </c>
      <c r="K319" t="s">
        <v>1647</v>
      </c>
      <c r="L319">
        <v>4999</v>
      </c>
      <c r="M319">
        <v>4999</v>
      </c>
      <c r="O319">
        <v>0</v>
      </c>
      <c r="P319">
        <v>0</v>
      </c>
      <c r="Q319" t="s">
        <v>60</v>
      </c>
      <c r="R319" t="s">
        <v>46</v>
      </c>
      <c r="S319" t="s">
        <v>190</v>
      </c>
      <c r="T319" t="s">
        <v>172</v>
      </c>
      <c r="U319" t="s">
        <v>32</v>
      </c>
      <c r="V319" s="4">
        <v>45676</v>
      </c>
      <c r="W319" t="s">
        <v>1648</v>
      </c>
      <c r="X319" t="s">
        <v>1650</v>
      </c>
      <c r="Y319" t="s">
        <v>35</v>
      </c>
      <c r="Z319" t="s">
        <v>49</v>
      </c>
      <c r="AA319" t="s">
        <v>119</v>
      </c>
      <c r="AB319" s="4">
        <v>45704</v>
      </c>
      <c r="AC319" t="s">
        <v>1652</v>
      </c>
      <c r="AD319" t="s">
        <v>1653</v>
      </c>
      <c r="AE319" t="s">
        <v>52</v>
      </c>
    </row>
    <row r="320" spans="1:31" x14ac:dyDescent="0.3">
      <c r="A320" t="s">
        <v>1528</v>
      </c>
      <c r="B320" s="4">
        <v>45651</v>
      </c>
      <c r="C320" t="s">
        <v>1646</v>
      </c>
      <c r="D320" t="s">
        <v>1529</v>
      </c>
      <c r="E320" t="s">
        <v>40</v>
      </c>
      <c r="F320" t="s">
        <v>1530</v>
      </c>
      <c r="G320" t="s">
        <v>79</v>
      </c>
      <c r="H320" t="s">
        <v>1531</v>
      </c>
      <c r="I320">
        <v>1399</v>
      </c>
      <c r="J320">
        <v>1</v>
      </c>
      <c r="K320" t="s">
        <v>1647</v>
      </c>
      <c r="L320">
        <v>1399</v>
      </c>
      <c r="M320">
        <v>1399</v>
      </c>
      <c r="O320">
        <v>0</v>
      </c>
      <c r="P320">
        <v>0</v>
      </c>
      <c r="Q320" t="s">
        <v>128</v>
      </c>
      <c r="R320" t="s">
        <v>71</v>
      </c>
      <c r="S320" t="s">
        <v>195</v>
      </c>
      <c r="T320" t="s">
        <v>33</v>
      </c>
      <c r="U320" t="s">
        <v>32</v>
      </c>
      <c r="V320" s="4">
        <v>45675</v>
      </c>
      <c r="W320" t="s">
        <v>1648</v>
      </c>
      <c r="X320" t="s">
        <v>1650</v>
      </c>
      <c r="Y320" t="s">
        <v>35</v>
      </c>
      <c r="Z320" t="s">
        <v>36</v>
      </c>
      <c r="AB320" s="4"/>
      <c r="AC320" t="s">
        <v>1649</v>
      </c>
      <c r="AD320" t="s">
        <v>1651</v>
      </c>
      <c r="AE320" t="s">
        <v>37</v>
      </c>
    </row>
    <row r="321" spans="1:31" x14ac:dyDescent="0.3">
      <c r="A321" t="s">
        <v>1532</v>
      </c>
      <c r="B321" s="4">
        <v>45651</v>
      </c>
      <c r="C321" t="s">
        <v>1646</v>
      </c>
      <c r="D321" t="s">
        <v>1533</v>
      </c>
      <c r="E321" t="s">
        <v>26</v>
      </c>
      <c r="F321" t="s">
        <v>1534</v>
      </c>
      <c r="G321" t="s">
        <v>28</v>
      </c>
      <c r="H321" t="s">
        <v>1535</v>
      </c>
      <c r="I321">
        <v>2099</v>
      </c>
      <c r="J321">
        <v>1</v>
      </c>
      <c r="K321" t="s">
        <v>1647</v>
      </c>
      <c r="L321">
        <v>2099</v>
      </c>
      <c r="M321">
        <v>1679.2</v>
      </c>
      <c r="N321" t="s">
        <v>1101</v>
      </c>
      <c r="O321">
        <v>20</v>
      </c>
      <c r="P321">
        <v>419.8</v>
      </c>
      <c r="Q321" t="s">
        <v>70</v>
      </c>
      <c r="R321" t="s">
        <v>31</v>
      </c>
      <c r="S321" t="s">
        <v>202</v>
      </c>
      <c r="T321" t="s">
        <v>73</v>
      </c>
      <c r="U321" t="s">
        <v>61</v>
      </c>
      <c r="V321" s="4">
        <v>45676</v>
      </c>
      <c r="W321" t="s">
        <v>1648</v>
      </c>
      <c r="X321" t="s">
        <v>1650</v>
      </c>
      <c r="Y321" t="s">
        <v>35</v>
      </c>
      <c r="Z321" t="s">
        <v>49</v>
      </c>
      <c r="AA321" t="s">
        <v>158</v>
      </c>
      <c r="AB321" s="4">
        <v>45703</v>
      </c>
      <c r="AC321" t="s">
        <v>1652</v>
      </c>
      <c r="AD321" t="s">
        <v>1653</v>
      </c>
      <c r="AE321" t="s">
        <v>52</v>
      </c>
    </row>
    <row r="322" spans="1:31" x14ac:dyDescent="0.3">
      <c r="A322" t="s">
        <v>1536</v>
      </c>
      <c r="B322" s="4">
        <v>45652</v>
      </c>
      <c r="C322" t="s">
        <v>1646</v>
      </c>
      <c r="D322" t="s">
        <v>1537</v>
      </c>
      <c r="E322" t="s">
        <v>26</v>
      </c>
      <c r="F322" t="s">
        <v>1538</v>
      </c>
      <c r="G322" t="s">
        <v>42</v>
      </c>
      <c r="H322" t="s">
        <v>1539</v>
      </c>
      <c r="I322">
        <v>2999</v>
      </c>
      <c r="J322">
        <v>1</v>
      </c>
      <c r="K322" t="s">
        <v>1647</v>
      </c>
      <c r="L322">
        <v>2999</v>
      </c>
      <c r="M322">
        <v>2999</v>
      </c>
      <c r="O322">
        <v>0</v>
      </c>
      <c r="P322">
        <v>0</v>
      </c>
      <c r="Q322" t="s">
        <v>45</v>
      </c>
      <c r="R322" t="s">
        <v>46</v>
      </c>
      <c r="S322" t="s">
        <v>208</v>
      </c>
      <c r="T322" t="s">
        <v>209</v>
      </c>
      <c r="U322" t="s">
        <v>61</v>
      </c>
      <c r="V322" s="4">
        <v>45677</v>
      </c>
      <c r="W322" t="s">
        <v>1648</v>
      </c>
      <c r="X322" t="s">
        <v>1650</v>
      </c>
      <c r="Y322" t="s">
        <v>35</v>
      </c>
      <c r="Z322" t="s">
        <v>49</v>
      </c>
      <c r="AA322" t="s">
        <v>50</v>
      </c>
      <c r="AB322" s="4">
        <v>45705</v>
      </c>
      <c r="AC322" t="s">
        <v>1652</v>
      </c>
      <c r="AD322" t="s">
        <v>1653</v>
      </c>
      <c r="AE322" t="s">
        <v>52</v>
      </c>
    </row>
    <row r="323" spans="1:31" x14ac:dyDescent="0.3">
      <c r="A323" t="s">
        <v>1541</v>
      </c>
      <c r="B323" s="4">
        <v>45652</v>
      </c>
      <c r="C323" t="s">
        <v>1646</v>
      </c>
      <c r="D323" t="s">
        <v>1542</v>
      </c>
      <c r="E323" t="s">
        <v>26</v>
      </c>
      <c r="F323" t="s">
        <v>1543</v>
      </c>
      <c r="G323" t="s">
        <v>58</v>
      </c>
      <c r="H323" t="s">
        <v>1544</v>
      </c>
      <c r="I323">
        <v>2199</v>
      </c>
      <c r="J323">
        <v>1</v>
      </c>
      <c r="K323" t="s">
        <v>1647</v>
      </c>
      <c r="L323">
        <v>2199</v>
      </c>
      <c r="M323">
        <v>2199</v>
      </c>
      <c r="O323">
        <v>0</v>
      </c>
      <c r="P323">
        <v>0</v>
      </c>
      <c r="Q323" t="s">
        <v>30</v>
      </c>
      <c r="R323" t="s">
        <v>71</v>
      </c>
      <c r="S323" t="s">
        <v>215</v>
      </c>
      <c r="T323" t="s">
        <v>216</v>
      </c>
      <c r="U323" t="s">
        <v>61</v>
      </c>
      <c r="V323" s="4">
        <v>45677</v>
      </c>
      <c r="W323" t="s">
        <v>1648</v>
      </c>
      <c r="X323" t="s">
        <v>1650</v>
      </c>
      <c r="Y323" t="s">
        <v>35</v>
      </c>
      <c r="Z323" t="s">
        <v>36</v>
      </c>
      <c r="AB323" s="4"/>
      <c r="AC323" t="s">
        <v>1649</v>
      </c>
      <c r="AD323" t="s">
        <v>1651</v>
      </c>
      <c r="AE323" t="s">
        <v>37</v>
      </c>
    </row>
    <row r="324" spans="1:31" x14ac:dyDescent="0.3">
      <c r="A324" t="s">
        <v>1545</v>
      </c>
      <c r="B324" s="4">
        <v>45652</v>
      </c>
      <c r="C324" t="s">
        <v>1646</v>
      </c>
      <c r="D324" t="s">
        <v>1546</v>
      </c>
      <c r="E324" t="s">
        <v>26</v>
      </c>
      <c r="F324" t="s">
        <v>1547</v>
      </c>
      <c r="G324" t="s">
        <v>67</v>
      </c>
      <c r="H324" t="s">
        <v>1548</v>
      </c>
      <c r="I324">
        <v>5999</v>
      </c>
      <c r="J324">
        <v>1</v>
      </c>
      <c r="K324" t="s">
        <v>1647</v>
      </c>
      <c r="L324">
        <v>5999</v>
      </c>
      <c r="M324">
        <v>4799.2</v>
      </c>
      <c r="N324" t="s">
        <v>1101</v>
      </c>
      <c r="O324">
        <v>20</v>
      </c>
      <c r="P324">
        <v>1199.8</v>
      </c>
      <c r="Q324" t="s">
        <v>60</v>
      </c>
      <c r="R324" t="s">
        <v>31</v>
      </c>
      <c r="S324" t="s">
        <v>221</v>
      </c>
      <c r="T324" t="s">
        <v>209</v>
      </c>
      <c r="U324" t="s">
        <v>61</v>
      </c>
      <c r="V324" s="4">
        <v>45678</v>
      </c>
      <c r="W324" t="s">
        <v>1648</v>
      </c>
      <c r="X324" t="s">
        <v>1650</v>
      </c>
      <c r="Y324" t="s">
        <v>35</v>
      </c>
      <c r="Z324" t="s">
        <v>49</v>
      </c>
      <c r="AA324" t="s">
        <v>89</v>
      </c>
      <c r="AB324" s="4">
        <v>45706</v>
      </c>
      <c r="AC324" t="s">
        <v>1652</v>
      </c>
      <c r="AD324" t="s">
        <v>1653</v>
      </c>
      <c r="AE324" t="s">
        <v>52</v>
      </c>
    </row>
    <row r="325" spans="1:31" x14ac:dyDescent="0.3">
      <c r="A325" t="s">
        <v>1550</v>
      </c>
      <c r="B325" s="4">
        <v>45652</v>
      </c>
      <c r="C325" t="s">
        <v>1646</v>
      </c>
      <c r="D325" t="s">
        <v>1551</v>
      </c>
      <c r="E325" t="s">
        <v>40</v>
      </c>
      <c r="F325" t="s">
        <v>1552</v>
      </c>
      <c r="G325" t="s">
        <v>79</v>
      </c>
      <c r="H325" t="s">
        <v>1553</v>
      </c>
      <c r="I325">
        <v>1299</v>
      </c>
      <c r="J325">
        <v>1</v>
      </c>
      <c r="K325" t="s">
        <v>1647</v>
      </c>
      <c r="L325">
        <v>1299</v>
      </c>
      <c r="M325">
        <v>1299</v>
      </c>
      <c r="O325">
        <v>0</v>
      </c>
      <c r="P325">
        <v>0</v>
      </c>
      <c r="Q325" t="s">
        <v>128</v>
      </c>
      <c r="R325" t="s">
        <v>46</v>
      </c>
      <c r="S325" t="s">
        <v>226</v>
      </c>
      <c r="T325" t="s">
        <v>62</v>
      </c>
      <c r="U325" t="s">
        <v>61</v>
      </c>
      <c r="V325" s="4">
        <v>45677</v>
      </c>
      <c r="W325" t="s">
        <v>1648</v>
      </c>
      <c r="X325" t="s">
        <v>1650</v>
      </c>
      <c r="Y325" t="s">
        <v>35</v>
      </c>
      <c r="Z325" t="s">
        <v>49</v>
      </c>
      <c r="AA325" t="s">
        <v>75</v>
      </c>
      <c r="AB325" s="4">
        <v>45704</v>
      </c>
      <c r="AC325" t="s">
        <v>1652</v>
      </c>
      <c r="AD325" t="s">
        <v>1653</v>
      </c>
      <c r="AE325" t="s">
        <v>52</v>
      </c>
    </row>
    <row r="326" spans="1:31" x14ac:dyDescent="0.3">
      <c r="A326" t="s">
        <v>1554</v>
      </c>
      <c r="B326" s="4">
        <v>45653</v>
      </c>
      <c r="C326" t="s">
        <v>1646</v>
      </c>
      <c r="D326" t="s">
        <v>1555</v>
      </c>
      <c r="E326" t="s">
        <v>26</v>
      </c>
      <c r="F326" t="s">
        <v>1556</v>
      </c>
      <c r="G326" t="s">
        <v>28</v>
      </c>
      <c r="H326" t="s">
        <v>1557</v>
      </c>
      <c r="I326">
        <v>999</v>
      </c>
      <c r="J326">
        <v>2</v>
      </c>
      <c r="K326" t="s">
        <v>1647</v>
      </c>
      <c r="L326">
        <v>1998</v>
      </c>
      <c r="M326">
        <v>1998</v>
      </c>
      <c r="O326">
        <v>0</v>
      </c>
      <c r="P326">
        <v>0</v>
      </c>
      <c r="Q326" t="s">
        <v>70</v>
      </c>
      <c r="R326" t="s">
        <v>71</v>
      </c>
      <c r="S326" t="s">
        <v>233</v>
      </c>
      <c r="T326" t="s">
        <v>109</v>
      </c>
      <c r="U326" t="s">
        <v>32</v>
      </c>
      <c r="V326" s="4">
        <v>45678</v>
      </c>
      <c r="W326" t="s">
        <v>1648</v>
      </c>
      <c r="X326" t="s">
        <v>1650</v>
      </c>
      <c r="Y326" t="s">
        <v>35</v>
      </c>
      <c r="Z326" t="s">
        <v>36</v>
      </c>
      <c r="AB326" s="4"/>
      <c r="AC326" t="s">
        <v>1649</v>
      </c>
      <c r="AD326" t="s">
        <v>1651</v>
      </c>
      <c r="AE326" t="s">
        <v>37</v>
      </c>
    </row>
    <row r="327" spans="1:31" x14ac:dyDescent="0.3">
      <c r="A327" t="s">
        <v>1558</v>
      </c>
      <c r="B327" s="4">
        <v>45653</v>
      </c>
      <c r="C327" t="s">
        <v>1646</v>
      </c>
      <c r="D327" t="s">
        <v>1559</v>
      </c>
      <c r="E327" t="s">
        <v>26</v>
      </c>
      <c r="F327" t="s">
        <v>1560</v>
      </c>
      <c r="G327" t="s">
        <v>42</v>
      </c>
      <c r="H327" t="s">
        <v>1561</v>
      </c>
      <c r="I327">
        <v>3499</v>
      </c>
      <c r="J327">
        <v>1</v>
      </c>
      <c r="K327" t="s">
        <v>1647</v>
      </c>
      <c r="L327">
        <v>3499</v>
      </c>
      <c r="M327">
        <v>2799.2</v>
      </c>
      <c r="N327" t="s">
        <v>1101</v>
      </c>
      <c r="O327">
        <v>20</v>
      </c>
      <c r="P327">
        <v>699.8</v>
      </c>
      <c r="Q327" t="s">
        <v>45</v>
      </c>
      <c r="R327" t="s">
        <v>31</v>
      </c>
      <c r="S327" t="s">
        <v>238</v>
      </c>
      <c r="T327" t="s">
        <v>109</v>
      </c>
      <c r="U327" t="s">
        <v>32</v>
      </c>
      <c r="V327" s="4">
        <v>45679</v>
      </c>
      <c r="W327" t="s">
        <v>1648</v>
      </c>
      <c r="X327" t="s">
        <v>1650</v>
      </c>
      <c r="Y327" t="s">
        <v>35</v>
      </c>
      <c r="Z327" t="s">
        <v>49</v>
      </c>
      <c r="AA327" t="s">
        <v>50</v>
      </c>
      <c r="AB327" s="4">
        <v>45707</v>
      </c>
      <c r="AC327" t="s">
        <v>1652</v>
      </c>
      <c r="AD327" t="s">
        <v>1653</v>
      </c>
      <c r="AE327" t="s">
        <v>52</v>
      </c>
    </row>
    <row r="328" spans="1:31" x14ac:dyDescent="0.3">
      <c r="A328" t="s">
        <v>1563</v>
      </c>
      <c r="B328" s="4">
        <v>45653</v>
      </c>
      <c r="C328" t="s">
        <v>1646</v>
      </c>
      <c r="D328" t="s">
        <v>1564</v>
      </c>
      <c r="E328" t="s">
        <v>26</v>
      </c>
      <c r="F328" t="s">
        <v>1565</v>
      </c>
      <c r="G328" t="s">
        <v>58</v>
      </c>
      <c r="H328" t="s">
        <v>1566</v>
      </c>
      <c r="I328">
        <v>1799</v>
      </c>
      <c r="J328">
        <v>1</v>
      </c>
      <c r="K328" t="s">
        <v>1647</v>
      </c>
      <c r="L328">
        <v>1799</v>
      </c>
      <c r="M328">
        <v>1799</v>
      </c>
      <c r="O328">
        <v>0</v>
      </c>
      <c r="P328">
        <v>0</v>
      </c>
      <c r="Q328" t="s">
        <v>30</v>
      </c>
      <c r="R328" t="s">
        <v>46</v>
      </c>
      <c r="S328" t="s">
        <v>243</v>
      </c>
      <c r="T328" t="s">
        <v>130</v>
      </c>
      <c r="U328" t="s">
        <v>47</v>
      </c>
      <c r="V328" s="4">
        <v>45679</v>
      </c>
      <c r="W328" t="s">
        <v>1648</v>
      </c>
      <c r="X328" t="s">
        <v>1650</v>
      </c>
      <c r="Y328" t="s">
        <v>35</v>
      </c>
      <c r="Z328" t="s">
        <v>36</v>
      </c>
      <c r="AB328" s="4"/>
      <c r="AC328" t="s">
        <v>1649</v>
      </c>
      <c r="AD328" t="s">
        <v>1651</v>
      </c>
      <c r="AE328" t="s">
        <v>37</v>
      </c>
    </row>
    <row r="329" spans="1:31" x14ac:dyDescent="0.3">
      <c r="A329" t="s">
        <v>1567</v>
      </c>
      <c r="B329" s="4">
        <v>45653</v>
      </c>
      <c r="C329" t="s">
        <v>1646</v>
      </c>
      <c r="D329" t="s">
        <v>1568</v>
      </c>
      <c r="E329" t="s">
        <v>26</v>
      </c>
      <c r="F329" t="s">
        <v>1569</v>
      </c>
      <c r="G329" t="s">
        <v>67</v>
      </c>
      <c r="H329" t="s">
        <v>1570</v>
      </c>
      <c r="I329">
        <v>4599</v>
      </c>
      <c r="J329">
        <v>1</v>
      </c>
      <c r="K329" t="s">
        <v>1647</v>
      </c>
      <c r="L329">
        <v>4599</v>
      </c>
      <c r="M329">
        <v>4599</v>
      </c>
      <c r="O329">
        <v>0</v>
      </c>
      <c r="P329">
        <v>0</v>
      </c>
      <c r="Q329" t="s">
        <v>60</v>
      </c>
      <c r="R329" t="s">
        <v>71</v>
      </c>
      <c r="S329" t="s">
        <v>32</v>
      </c>
      <c r="T329" t="s">
        <v>33</v>
      </c>
      <c r="U329" t="s">
        <v>32</v>
      </c>
      <c r="V329" s="4">
        <v>45680</v>
      </c>
      <c r="W329" t="s">
        <v>1648</v>
      </c>
      <c r="X329" t="s">
        <v>1650</v>
      </c>
      <c r="Y329" t="s">
        <v>35</v>
      </c>
      <c r="Z329" t="s">
        <v>49</v>
      </c>
      <c r="AA329" t="s">
        <v>119</v>
      </c>
      <c r="AB329" s="4">
        <v>45708</v>
      </c>
      <c r="AC329" t="s">
        <v>1652</v>
      </c>
      <c r="AD329" t="s">
        <v>1653</v>
      </c>
      <c r="AE329" t="s">
        <v>52</v>
      </c>
    </row>
    <row r="330" spans="1:31" x14ac:dyDescent="0.3">
      <c r="A330" t="s">
        <v>1572</v>
      </c>
      <c r="B330" s="4">
        <v>45654</v>
      </c>
      <c r="C330" t="s">
        <v>1646</v>
      </c>
      <c r="D330" t="s">
        <v>1573</v>
      </c>
      <c r="E330" t="s">
        <v>40</v>
      </c>
      <c r="F330" t="s">
        <v>1574</v>
      </c>
      <c r="G330" t="s">
        <v>79</v>
      </c>
      <c r="H330" t="s">
        <v>1575</v>
      </c>
      <c r="I330">
        <v>799</v>
      </c>
      <c r="J330">
        <v>1</v>
      </c>
      <c r="K330" t="s">
        <v>1647</v>
      </c>
      <c r="L330">
        <v>799</v>
      </c>
      <c r="M330">
        <v>639.20000000000005</v>
      </c>
      <c r="N330" t="s">
        <v>1101</v>
      </c>
      <c r="O330">
        <v>20</v>
      </c>
      <c r="P330">
        <v>159.80000000000001</v>
      </c>
      <c r="Q330" t="s">
        <v>128</v>
      </c>
      <c r="R330" t="s">
        <v>31</v>
      </c>
      <c r="S330" t="s">
        <v>47</v>
      </c>
      <c r="T330" t="s">
        <v>47</v>
      </c>
      <c r="U330" t="s">
        <v>47</v>
      </c>
      <c r="V330" s="4">
        <v>45679</v>
      </c>
      <c r="W330" t="s">
        <v>1648</v>
      </c>
      <c r="X330" t="s">
        <v>1650</v>
      </c>
      <c r="Y330" t="s">
        <v>35</v>
      </c>
      <c r="Z330" t="s">
        <v>36</v>
      </c>
      <c r="AB330" s="4"/>
      <c r="AC330" t="s">
        <v>1649</v>
      </c>
      <c r="AD330" t="s">
        <v>1651</v>
      </c>
      <c r="AE330" t="s">
        <v>37</v>
      </c>
    </row>
    <row r="331" spans="1:31" x14ac:dyDescent="0.3">
      <c r="A331" t="s">
        <v>1576</v>
      </c>
      <c r="B331" s="4">
        <v>45654</v>
      </c>
      <c r="C331" t="s">
        <v>1646</v>
      </c>
      <c r="D331" t="s">
        <v>1577</v>
      </c>
      <c r="E331" t="s">
        <v>26</v>
      </c>
      <c r="F331" t="s">
        <v>1578</v>
      </c>
      <c r="G331" t="s">
        <v>28</v>
      </c>
      <c r="H331" t="s">
        <v>1579</v>
      </c>
      <c r="I331">
        <v>1899</v>
      </c>
      <c r="J331">
        <v>1</v>
      </c>
      <c r="K331" t="s">
        <v>1647</v>
      </c>
      <c r="L331">
        <v>1899</v>
      </c>
      <c r="M331">
        <v>1899</v>
      </c>
      <c r="O331">
        <v>0</v>
      </c>
      <c r="P331">
        <v>0</v>
      </c>
      <c r="Q331" t="s">
        <v>70</v>
      </c>
      <c r="R331" t="s">
        <v>46</v>
      </c>
      <c r="S331" t="s">
        <v>101</v>
      </c>
      <c r="T331" t="s">
        <v>102</v>
      </c>
      <c r="U331" t="s">
        <v>47</v>
      </c>
      <c r="V331" s="4">
        <v>45680</v>
      </c>
      <c r="W331" t="s">
        <v>1648</v>
      </c>
      <c r="X331" t="s">
        <v>1650</v>
      </c>
      <c r="Y331" t="s">
        <v>35</v>
      </c>
      <c r="Z331" t="s">
        <v>49</v>
      </c>
      <c r="AA331" t="s">
        <v>158</v>
      </c>
      <c r="AB331" s="4">
        <v>45707</v>
      </c>
      <c r="AC331" t="s">
        <v>1652</v>
      </c>
      <c r="AD331" t="s">
        <v>1653</v>
      </c>
      <c r="AE331" t="s">
        <v>52</v>
      </c>
    </row>
    <row r="332" spans="1:31" x14ac:dyDescent="0.3">
      <c r="A332" t="s">
        <v>1580</v>
      </c>
      <c r="B332" s="4">
        <v>45654</v>
      </c>
      <c r="C332" t="s">
        <v>1646</v>
      </c>
      <c r="D332" t="s">
        <v>1581</v>
      </c>
      <c r="E332" t="s">
        <v>26</v>
      </c>
      <c r="F332" t="s">
        <v>1582</v>
      </c>
      <c r="G332" t="s">
        <v>42</v>
      </c>
      <c r="H332" t="s">
        <v>1583</v>
      </c>
      <c r="I332">
        <v>4099</v>
      </c>
      <c r="J332">
        <v>1</v>
      </c>
      <c r="K332" t="s">
        <v>1647</v>
      </c>
      <c r="L332">
        <v>4099</v>
      </c>
      <c r="M332">
        <v>4099</v>
      </c>
      <c r="O332">
        <v>0</v>
      </c>
      <c r="P332">
        <v>0</v>
      </c>
      <c r="Q332" t="s">
        <v>45</v>
      </c>
      <c r="R332" t="s">
        <v>71</v>
      </c>
      <c r="S332" t="s">
        <v>72</v>
      </c>
      <c r="T332" t="s">
        <v>73</v>
      </c>
      <c r="U332" t="s">
        <v>61</v>
      </c>
      <c r="V332" s="4">
        <v>45681</v>
      </c>
      <c r="W332" t="s">
        <v>1648</v>
      </c>
      <c r="X332" t="s">
        <v>1650</v>
      </c>
      <c r="Y332" t="s">
        <v>35</v>
      </c>
      <c r="Z332" t="s">
        <v>49</v>
      </c>
      <c r="AA332" t="s">
        <v>50</v>
      </c>
      <c r="AB332" s="4">
        <v>45709</v>
      </c>
      <c r="AC332" t="s">
        <v>1652</v>
      </c>
      <c r="AD332" t="s">
        <v>1653</v>
      </c>
      <c r="AE332" t="s">
        <v>52</v>
      </c>
    </row>
    <row r="333" spans="1:31" x14ac:dyDescent="0.3">
      <c r="A333" t="s">
        <v>1585</v>
      </c>
      <c r="B333" s="4">
        <v>45654</v>
      </c>
      <c r="C333" t="s">
        <v>1646</v>
      </c>
      <c r="D333" t="s">
        <v>1586</v>
      </c>
      <c r="E333" t="s">
        <v>26</v>
      </c>
      <c r="F333" t="s">
        <v>1587</v>
      </c>
      <c r="G333" t="s">
        <v>58</v>
      </c>
      <c r="H333" t="s">
        <v>1588</v>
      </c>
      <c r="I333">
        <v>2299</v>
      </c>
      <c r="J333">
        <v>1</v>
      </c>
      <c r="K333" t="s">
        <v>1647</v>
      </c>
      <c r="L333">
        <v>2299</v>
      </c>
      <c r="M333">
        <v>1839.2</v>
      </c>
      <c r="N333" t="s">
        <v>1101</v>
      </c>
      <c r="O333">
        <v>20</v>
      </c>
      <c r="P333">
        <v>459.8</v>
      </c>
      <c r="Q333" t="s">
        <v>30</v>
      </c>
      <c r="R333" t="s">
        <v>31</v>
      </c>
      <c r="S333" t="s">
        <v>86</v>
      </c>
      <c r="T333" t="s">
        <v>87</v>
      </c>
      <c r="U333" t="s">
        <v>61</v>
      </c>
      <c r="V333" s="4">
        <v>45681</v>
      </c>
      <c r="W333" t="s">
        <v>1648</v>
      </c>
      <c r="X333" t="s">
        <v>1650</v>
      </c>
      <c r="Y333" t="s">
        <v>35</v>
      </c>
      <c r="Z333" t="s">
        <v>36</v>
      </c>
      <c r="AB333" s="4"/>
      <c r="AC333" t="s">
        <v>1649</v>
      </c>
      <c r="AD333" t="s">
        <v>1651</v>
      </c>
      <c r="AE333" t="s">
        <v>37</v>
      </c>
    </row>
    <row r="334" spans="1:31" x14ac:dyDescent="0.3">
      <c r="A334" t="s">
        <v>1589</v>
      </c>
      <c r="B334" s="4">
        <v>45655</v>
      </c>
      <c r="C334" t="s">
        <v>1646</v>
      </c>
      <c r="D334" t="s">
        <v>1590</v>
      </c>
      <c r="E334" t="s">
        <v>26</v>
      </c>
      <c r="F334" t="s">
        <v>1591</v>
      </c>
      <c r="G334" t="s">
        <v>67</v>
      </c>
      <c r="H334" t="s">
        <v>1592</v>
      </c>
      <c r="I334">
        <v>5799</v>
      </c>
      <c r="J334">
        <v>1</v>
      </c>
      <c r="K334" t="s">
        <v>1647</v>
      </c>
      <c r="L334">
        <v>5799</v>
      </c>
      <c r="M334">
        <v>5799</v>
      </c>
      <c r="O334">
        <v>0</v>
      </c>
      <c r="P334">
        <v>0</v>
      </c>
      <c r="Q334" t="s">
        <v>60</v>
      </c>
      <c r="R334" t="s">
        <v>46</v>
      </c>
      <c r="S334" t="s">
        <v>95</v>
      </c>
      <c r="T334" t="s">
        <v>33</v>
      </c>
      <c r="U334" t="s">
        <v>32</v>
      </c>
      <c r="V334" s="4">
        <v>45682</v>
      </c>
      <c r="W334" t="s">
        <v>1648</v>
      </c>
      <c r="X334" t="s">
        <v>1650</v>
      </c>
      <c r="Y334" t="s">
        <v>35</v>
      </c>
      <c r="Z334" t="s">
        <v>49</v>
      </c>
      <c r="AA334" t="s">
        <v>89</v>
      </c>
      <c r="AB334" s="4">
        <v>45710</v>
      </c>
      <c r="AC334" t="s">
        <v>1652</v>
      </c>
      <c r="AD334" t="s">
        <v>1653</v>
      </c>
      <c r="AE334" t="s">
        <v>52</v>
      </c>
    </row>
    <row r="335" spans="1:31" x14ac:dyDescent="0.3">
      <c r="A335" t="s">
        <v>1594</v>
      </c>
      <c r="B335" s="4">
        <v>45655</v>
      </c>
      <c r="C335" t="s">
        <v>1646</v>
      </c>
      <c r="D335" t="s">
        <v>1595</v>
      </c>
      <c r="E335" t="s">
        <v>40</v>
      </c>
      <c r="F335" t="s">
        <v>1596</v>
      </c>
      <c r="G335" t="s">
        <v>79</v>
      </c>
      <c r="H335" t="s">
        <v>1597</v>
      </c>
      <c r="I335">
        <v>699</v>
      </c>
      <c r="J335">
        <v>2</v>
      </c>
      <c r="K335" t="s">
        <v>1647</v>
      </c>
      <c r="L335">
        <v>1398</v>
      </c>
      <c r="M335">
        <v>1398</v>
      </c>
      <c r="O335">
        <v>0</v>
      </c>
      <c r="P335">
        <v>0</v>
      </c>
      <c r="Q335" t="s">
        <v>128</v>
      </c>
      <c r="R335" t="s">
        <v>71</v>
      </c>
      <c r="S335" t="s">
        <v>108</v>
      </c>
      <c r="T335" t="s">
        <v>109</v>
      </c>
      <c r="U335" t="s">
        <v>32</v>
      </c>
      <c r="V335" s="4">
        <v>45681</v>
      </c>
      <c r="W335" t="s">
        <v>1648</v>
      </c>
      <c r="X335" t="s">
        <v>1650</v>
      </c>
      <c r="Y335" t="s">
        <v>35</v>
      </c>
      <c r="Z335" t="s">
        <v>49</v>
      </c>
      <c r="AA335" t="s">
        <v>75</v>
      </c>
      <c r="AB335" s="4">
        <v>45708</v>
      </c>
      <c r="AC335" t="s">
        <v>1652</v>
      </c>
      <c r="AD335" t="s">
        <v>1653</v>
      </c>
      <c r="AE335" t="s">
        <v>52</v>
      </c>
    </row>
    <row r="336" spans="1:31" x14ac:dyDescent="0.3">
      <c r="A336" t="s">
        <v>1606</v>
      </c>
      <c r="B336" s="4">
        <v>45656</v>
      </c>
      <c r="C336" t="s">
        <v>1646</v>
      </c>
      <c r="D336" t="s">
        <v>1607</v>
      </c>
      <c r="E336" t="s">
        <v>26</v>
      </c>
      <c r="F336" t="s">
        <v>1608</v>
      </c>
      <c r="G336" t="s">
        <v>58</v>
      </c>
      <c r="H336" t="s">
        <v>1609</v>
      </c>
      <c r="I336">
        <v>2099</v>
      </c>
      <c r="J336">
        <v>1</v>
      </c>
      <c r="K336" t="s">
        <v>1647</v>
      </c>
      <c r="L336">
        <v>2099</v>
      </c>
      <c r="M336">
        <v>2099</v>
      </c>
      <c r="O336">
        <v>0</v>
      </c>
      <c r="P336">
        <v>0</v>
      </c>
      <c r="Q336" t="s">
        <v>30</v>
      </c>
      <c r="R336" t="s">
        <v>71</v>
      </c>
      <c r="S336" t="s">
        <v>61</v>
      </c>
      <c r="T336" t="s">
        <v>62</v>
      </c>
      <c r="U336" t="s">
        <v>61</v>
      </c>
      <c r="V336" s="4">
        <v>45683</v>
      </c>
      <c r="W336" t="s">
        <v>1648</v>
      </c>
      <c r="X336" t="s">
        <v>1650</v>
      </c>
      <c r="Y336" t="s">
        <v>35</v>
      </c>
      <c r="Z336" t="s">
        <v>36</v>
      </c>
      <c r="AB336" s="4"/>
      <c r="AC336" t="s">
        <v>1649</v>
      </c>
      <c r="AD336" t="s">
        <v>1651</v>
      </c>
      <c r="AE336" t="s">
        <v>37</v>
      </c>
    </row>
    <row r="337" spans="1:31" x14ac:dyDescent="0.3">
      <c r="A337" t="s">
        <v>1610</v>
      </c>
      <c r="B337" s="4">
        <v>45656</v>
      </c>
      <c r="C337" t="s">
        <v>1646</v>
      </c>
      <c r="D337" t="s">
        <v>1611</v>
      </c>
      <c r="E337" t="s">
        <v>26</v>
      </c>
      <c r="F337" t="s">
        <v>1612</v>
      </c>
      <c r="G337" t="s">
        <v>67</v>
      </c>
      <c r="H337" t="s">
        <v>1613</v>
      </c>
      <c r="I337">
        <v>4899</v>
      </c>
      <c r="J337">
        <v>1</v>
      </c>
      <c r="K337" t="s">
        <v>1647</v>
      </c>
      <c r="L337">
        <v>4899</v>
      </c>
      <c r="M337">
        <v>3919.2</v>
      </c>
      <c r="N337" t="s">
        <v>1101</v>
      </c>
      <c r="O337">
        <v>20</v>
      </c>
      <c r="P337">
        <v>979.8</v>
      </c>
      <c r="Q337" t="s">
        <v>60</v>
      </c>
      <c r="R337" t="s">
        <v>31</v>
      </c>
      <c r="S337" t="s">
        <v>32</v>
      </c>
      <c r="T337" t="s">
        <v>33</v>
      </c>
      <c r="U337" t="s">
        <v>32</v>
      </c>
      <c r="V337" s="4">
        <v>45684</v>
      </c>
      <c r="W337" t="s">
        <v>1648</v>
      </c>
      <c r="X337" t="s">
        <v>1650</v>
      </c>
      <c r="Y337" t="s">
        <v>35</v>
      </c>
      <c r="Z337" t="s">
        <v>49</v>
      </c>
      <c r="AA337" t="s">
        <v>119</v>
      </c>
      <c r="AB337" s="4">
        <v>45712</v>
      </c>
      <c r="AC337" t="s">
        <v>1652</v>
      </c>
      <c r="AD337" t="s">
        <v>1653</v>
      </c>
      <c r="AE337" t="s">
        <v>52</v>
      </c>
    </row>
    <row r="338" spans="1:31" x14ac:dyDescent="0.3">
      <c r="A338" t="s">
        <v>1615</v>
      </c>
      <c r="B338" s="4">
        <v>45656</v>
      </c>
      <c r="C338" t="s">
        <v>1646</v>
      </c>
      <c r="D338" t="s">
        <v>1616</v>
      </c>
      <c r="E338" t="s">
        <v>40</v>
      </c>
      <c r="F338" t="s">
        <v>1617</v>
      </c>
      <c r="G338" t="s">
        <v>79</v>
      </c>
      <c r="H338" t="s">
        <v>1618</v>
      </c>
      <c r="I338">
        <v>599</v>
      </c>
      <c r="J338">
        <v>3</v>
      </c>
      <c r="K338" t="s">
        <v>1647</v>
      </c>
      <c r="L338">
        <v>1797</v>
      </c>
      <c r="M338">
        <v>1797</v>
      </c>
      <c r="O338">
        <v>0</v>
      </c>
      <c r="P338">
        <v>0</v>
      </c>
      <c r="Q338" t="s">
        <v>128</v>
      </c>
      <c r="R338" t="s">
        <v>46</v>
      </c>
      <c r="S338" t="s">
        <v>47</v>
      </c>
      <c r="T338" t="s">
        <v>47</v>
      </c>
      <c r="U338" t="s">
        <v>47</v>
      </c>
      <c r="V338" s="4">
        <v>45683</v>
      </c>
      <c r="W338" t="s">
        <v>1648</v>
      </c>
      <c r="X338" t="s">
        <v>1650</v>
      </c>
      <c r="Y338" t="s">
        <v>35</v>
      </c>
      <c r="Z338" t="s">
        <v>36</v>
      </c>
      <c r="AB338" s="4"/>
      <c r="AC338" t="s">
        <v>1649</v>
      </c>
      <c r="AD338" t="s">
        <v>1651</v>
      </c>
      <c r="AE338" t="s">
        <v>37</v>
      </c>
    </row>
    <row r="339" spans="1:31" x14ac:dyDescent="0.3">
      <c r="A339" t="s">
        <v>1619</v>
      </c>
      <c r="B339" s="4">
        <v>45656</v>
      </c>
      <c r="C339" t="s">
        <v>1646</v>
      </c>
      <c r="D339" t="s">
        <v>1620</v>
      </c>
      <c r="E339" t="s">
        <v>26</v>
      </c>
      <c r="F339" t="s">
        <v>1621</v>
      </c>
      <c r="G339" t="s">
        <v>28</v>
      </c>
      <c r="H339" t="s">
        <v>1622</v>
      </c>
      <c r="I339">
        <v>2199</v>
      </c>
      <c r="J339">
        <v>1</v>
      </c>
      <c r="K339" t="s">
        <v>1647</v>
      </c>
      <c r="L339">
        <v>2199</v>
      </c>
      <c r="M339">
        <v>2199</v>
      </c>
      <c r="O339">
        <v>0</v>
      </c>
      <c r="P339">
        <v>0</v>
      </c>
      <c r="Q339" t="s">
        <v>70</v>
      </c>
      <c r="R339" t="s">
        <v>71</v>
      </c>
      <c r="S339" t="s">
        <v>135</v>
      </c>
      <c r="T339" t="s">
        <v>136</v>
      </c>
      <c r="U339" t="s">
        <v>47</v>
      </c>
      <c r="V339" s="4">
        <v>45684</v>
      </c>
      <c r="W339" t="s">
        <v>1648</v>
      </c>
      <c r="X339" t="s">
        <v>1650</v>
      </c>
      <c r="Y339" t="s">
        <v>35</v>
      </c>
      <c r="Z339" t="s">
        <v>49</v>
      </c>
      <c r="AA339" t="s">
        <v>158</v>
      </c>
      <c r="AB339" s="4">
        <v>45711</v>
      </c>
      <c r="AC339" t="s">
        <v>1652</v>
      </c>
      <c r="AD339" t="s">
        <v>1653</v>
      </c>
      <c r="AE339" t="s">
        <v>52</v>
      </c>
    </row>
    <row r="340" spans="1:31" x14ac:dyDescent="0.3">
      <c r="A340" t="s">
        <v>1623</v>
      </c>
      <c r="B340" s="4">
        <v>45657</v>
      </c>
      <c r="C340" t="s">
        <v>1646</v>
      </c>
      <c r="D340" t="s">
        <v>1624</v>
      </c>
      <c r="E340" t="s">
        <v>26</v>
      </c>
      <c r="F340" t="s">
        <v>1625</v>
      </c>
      <c r="G340" t="s">
        <v>42</v>
      </c>
      <c r="H340" t="s">
        <v>1274</v>
      </c>
      <c r="I340">
        <v>4499</v>
      </c>
      <c r="J340">
        <v>1</v>
      </c>
      <c r="K340" t="s">
        <v>1647</v>
      </c>
      <c r="L340">
        <v>4499</v>
      </c>
      <c r="M340">
        <v>3599.2</v>
      </c>
      <c r="N340" t="s">
        <v>1101</v>
      </c>
      <c r="O340">
        <v>20</v>
      </c>
      <c r="P340">
        <v>899.8</v>
      </c>
      <c r="Q340" t="s">
        <v>45</v>
      </c>
      <c r="R340" t="s">
        <v>31</v>
      </c>
      <c r="S340" t="s">
        <v>156</v>
      </c>
      <c r="T340" t="s">
        <v>130</v>
      </c>
      <c r="U340" t="s">
        <v>47</v>
      </c>
      <c r="V340" s="4">
        <v>45685</v>
      </c>
      <c r="W340" t="s">
        <v>1648</v>
      </c>
      <c r="X340" t="s">
        <v>1650</v>
      </c>
      <c r="Y340" t="s">
        <v>35</v>
      </c>
      <c r="Z340" t="s">
        <v>49</v>
      </c>
      <c r="AA340" t="s">
        <v>50</v>
      </c>
      <c r="AB340" s="4">
        <v>45713</v>
      </c>
      <c r="AC340" t="s">
        <v>1652</v>
      </c>
      <c r="AD340" t="s">
        <v>1653</v>
      </c>
      <c r="AE340" t="s">
        <v>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2C720-DCAA-4A6D-B8D3-376C99A50AA3}">
  <dimension ref="M1:N16"/>
  <sheetViews>
    <sheetView workbookViewId="0">
      <selection activeCell="M4" sqref="M4"/>
    </sheetView>
  </sheetViews>
  <sheetFormatPr defaultRowHeight="14.4" x14ac:dyDescent="0.3"/>
  <cols>
    <col min="13" max="13" width="14.6640625" bestFit="1" customWidth="1"/>
    <col min="14" max="14" width="54.33203125" bestFit="1" customWidth="1"/>
  </cols>
  <sheetData>
    <row r="1" spans="13:14" ht="15.6" x14ac:dyDescent="0.3">
      <c r="M1" s="14" t="s">
        <v>1627</v>
      </c>
      <c r="N1" s="14" t="s">
        <v>1628</v>
      </c>
    </row>
    <row r="2" spans="13:14" ht="15.6" x14ac:dyDescent="0.3">
      <c r="M2" s="2" t="s">
        <v>1629</v>
      </c>
      <c r="N2" s="2" t="s">
        <v>1630</v>
      </c>
    </row>
    <row r="3" spans="13:14" ht="15.6" x14ac:dyDescent="0.3">
      <c r="M3" s="2" t="s">
        <v>1631</v>
      </c>
      <c r="N3" s="2" t="s">
        <v>1632</v>
      </c>
    </row>
    <row r="13" spans="13:14" x14ac:dyDescent="0.3">
      <c r="M13" t="s">
        <v>1633</v>
      </c>
    </row>
    <row r="14" spans="13:14" x14ac:dyDescent="0.3">
      <c r="M14" s="3" t="s">
        <v>1634</v>
      </c>
    </row>
    <row r="15" spans="13:14" x14ac:dyDescent="0.3">
      <c r="M15" t="s">
        <v>1670</v>
      </c>
    </row>
    <row r="16" spans="13:14" x14ac:dyDescent="0.3">
      <c r="M16" t="s">
        <v>1671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FF2D-3AFB-4103-9602-EA3816FAA29D}">
  <dimension ref="C4:I20"/>
  <sheetViews>
    <sheetView workbookViewId="0">
      <selection activeCell="G23" sqref="G23"/>
    </sheetView>
  </sheetViews>
  <sheetFormatPr defaultRowHeight="14.4" x14ac:dyDescent="0.3"/>
  <cols>
    <col min="1" max="1" width="6.88671875" customWidth="1"/>
    <col min="2" max="2" width="8" customWidth="1"/>
    <col min="3" max="3" width="23.5546875" bestFit="1" customWidth="1"/>
    <col min="4" max="4" width="10.44140625" bestFit="1" customWidth="1"/>
    <col min="5" max="5" width="27.109375" bestFit="1" customWidth="1"/>
    <col min="6" max="6" width="14.21875" bestFit="1" customWidth="1"/>
    <col min="7" max="7" width="19.33203125" bestFit="1" customWidth="1"/>
    <col min="8" max="8" width="23.5546875" bestFit="1" customWidth="1"/>
    <col min="9" max="9" width="19.33203125" bestFit="1" customWidth="1"/>
    <col min="10" max="10" width="6" bestFit="1" customWidth="1"/>
    <col min="11" max="11" width="7" bestFit="1" customWidth="1"/>
    <col min="12" max="12" width="6" bestFit="1" customWidth="1"/>
    <col min="13" max="13" width="5" bestFit="1" customWidth="1"/>
    <col min="14" max="14" width="6" bestFit="1" customWidth="1"/>
    <col min="15" max="15" width="7" bestFit="1" customWidth="1"/>
    <col min="16" max="16" width="6" bestFit="1" customWidth="1"/>
    <col min="17" max="18" width="5" bestFit="1" customWidth="1"/>
    <col min="19" max="19" width="7" bestFit="1" customWidth="1"/>
    <col min="20" max="20" width="5" bestFit="1" customWidth="1"/>
    <col min="21" max="21" width="8" bestFit="1" customWidth="1"/>
    <col min="22" max="23" width="7" bestFit="1" customWidth="1"/>
    <col min="24" max="24" width="5" bestFit="1" customWidth="1"/>
    <col min="25" max="25" width="7" bestFit="1" customWidth="1"/>
    <col min="26" max="26" width="5" bestFit="1" customWidth="1"/>
    <col min="27" max="27" width="7" bestFit="1" customWidth="1"/>
    <col min="28" max="28" width="5" bestFit="1" customWidth="1"/>
    <col min="29" max="31" width="7" bestFit="1" customWidth="1"/>
    <col min="32" max="32" width="8" bestFit="1" customWidth="1"/>
    <col min="33" max="33" width="5" bestFit="1" customWidth="1"/>
    <col min="34" max="34" width="7" bestFit="1" customWidth="1"/>
    <col min="35" max="35" width="8" bestFit="1" customWidth="1"/>
    <col min="36" max="36" width="7" bestFit="1" customWidth="1"/>
    <col min="37" max="38" width="5" bestFit="1" customWidth="1"/>
    <col min="39" max="41" width="7" bestFit="1" customWidth="1"/>
    <col min="42" max="42" width="8" bestFit="1" customWidth="1"/>
    <col min="43" max="45" width="5" bestFit="1" customWidth="1"/>
    <col min="46" max="48" width="7" bestFit="1" customWidth="1"/>
    <col min="49" max="49" width="8" bestFit="1" customWidth="1"/>
    <col min="50" max="51" width="7" bestFit="1" customWidth="1"/>
    <col min="52" max="52" width="5" bestFit="1" customWidth="1"/>
    <col min="53" max="53" width="6" bestFit="1" customWidth="1"/>
    <col min="54" max="57" width="7" bestFit="1" customWidth="1"/>
    <col min="58" max="58" width="5" bestFit="1" customWidth="1"/>
    <col min="59" max="59" width="8" bestFit="1" customWidth="1"/>
    <col min="60" max="60" width="7" bestFit="1" customWidth="1"/>
    <col min="61" max="61" width="8" bestFit="1" customWidth="1"/>
    <col min="62" max="63" width="5" bestFit="1" customWidth="1"/>
    <col min="64" max="64" width="6" bestFit="1" customWidth="1"/>
    <col min="65" max="66" width="7" bestFit="1" customWidth="1"/>
    <col min="67" max="67" width="8" bestFit="1" customWidth="1"/>
    <col min="68" max="68" width="6" bestFit="1" customWidth="1"/>
    <col min="69" max="70" width="7" bestFit="1" customWidth="1"/>
    <col min="71" max="72" width="5" bestFit="1" customWidth="1"/>
    <col min="73" max="73" width="7" bestFit="1" customWidth="1"/>
    <col min="74" max="74" width="8" bestFit="1" customWidth="1"/>
    <col min="75" max="75" width="7" bestFit="1" customWidth="1"/>
    <col min="76" max="76" width="6" bestFit="1" customWidth="1"/>
    <col min="77" max="77" width="7" bestFit="1" customWidth="1"/>
    <col min="78" max="78" width="8" bestFit="1" customWidth="1"/>
    <col min="79" max="79" width="7" bestFit="1" customWidth="1"/>
    <col min="80" max="80" width="5" bestFit="1" customWidth="1"/>
    <col min="81" max="81" width="6" bestFit="1" customWidth="1"/>
    <col min="82" max="82" width="8" bestFit="1" customWidth="1"/>
    <col min="83" max="83" width="7" bestFit="1" customWidth="1"/>
    <col min="84" max="84" width="8" bestFit="1" customWidth="1"/>
    <col min="85" max="85" width="6" bestFit="1" customWidth="1"/>
    <col min="86" max="88" width="7" bestFit="1" customWidth="1"/>
    <col min="89" max="91" width="5" bestFit="1" customWidth="1"/>
    <col min="92" max="92" width="6" bestFit="1" customWidth="1"/>
    <col min="93" max="93" width="7" bestFit="1" customWidth="1"/>
    <col min="94" max="94" width="6" bestFit="1" customWidth="1"/>
    <col min="95" max="97" width="7" bestFit="1" customWidth="1"/>
    <col min="98" max="98" width="5" bestFit="1" customWidth="1"/>
    <col min="99" max="99" width="6" bestFit="1" customWidth="1"/>
    <col min="100" max="100" width="7" bestFit="1" customWidth="1"/>
    <col min="101" max="101" width="5" bestFit="1" customWidth="1"/>
    <col min="102" max="102" width="8" bestFit="1" customWidth="1"/>
    <col min="103" max="104" width="7" bestFit="1" customWidth="1"/>
    <col min="105" max="105" width="6" bestFit="1" customWidth="1"/>
    <col min="106" max="107" width="7" bestFit="1" customWidth="1"/>
    <col min="108" max="108" width="6" bestFit="1" customWidth="1"/>
    <col min="109" max="109" width="7" bestFit="1" customWidth="1"/>
    <col min="110" max="110" width="8" bestFit="1" customWidth="1"/>
    <col min="111" max="111" width="5" bestFit="1" customWidth="1"/>
    <col min="112" max="112" width="6" bestFit="1" customWidth="1"/>
    <col min="113" max="115" width="7" bestFit="1" customWidth="1"/>
    <col min="116" max="116" width="5" bestFit="1" customWidth="1"/>
    <col min="117" max="117" width="7" bestFit="1" customWidth="1"/>
    <col min="118" max="118" width="5" bestFit="1" customWidth="1"/>
    <col min="119" max="119" width="7" bestFit="1" customWidth="1"/>
    <col min="120" max="120" width="5" bestFit="1" customWidth="1"/>
    <col min="121" max="122" width="7" bestFit="1" customWidth="1"/>
    <col min="123" max="125" width="5" bestFit="1" customWidth="1"/>
    <col min="126" max="128" width="7" bestFit="1" customWidth="1"/>
    <col min="129" max="130" width="5" bestFit="1" customWidth="1"/>
    <col min="131" max="131" width="8" bestFit="1" customWidth="1"/>
    <col min="132" max="132" width="5" bestFit="1" customWidth="1"/>
    <col min="133" max="134" width="7" bestFit="1" customWidth="1"/>
    <col min="135" max="135" width="6" bestFit="1" customWidth="1"/>
    <col min="136" max="136" width="5" bestFit="1" customWidth="1"/>
    <col min="137" max="137" width="7" bestFit="1" customWidth="1"/>
    <col min="138" max="138" width="5" bestFit="1" customWidth="1"/>
    <col min="139" max="139" width="7" bestFit="1" customWidth="1"/>
    <col min="140" max="140" width="5" bestFit="1" customWidth="1"/>
    <col min="141" max="144" width="7" bestFit="1" customWidth="1"/>
    <col min="145" max="145" width="8" bestFit="1" customWidth="1"/>
    <col min="146" max="146" width="6" bestFit="1" customWidth="1"/>
    <col min="147" max="147" width="7" bestFit="1" customWidth="1"/>
    <col min="148" max="148" width="8" bestFit="1" customWidth="1"/>
    <col min="149" max="149" width="5" bestFit="1" customWidth="1"/>
    <col min="150" max="151" width="7" bestFit="1" customWidth="1"/>
    <col min="152" max="152" width="5" bestFit="1" customWidth="1"/>
    <col min="153" max="153" width="8" bestFit="1" customWidth="1"/>
    <col min="154" max="154" width="6" bestFit="1" customWidth="1"/>
    <col min="155" max="155" width="8" bestFit="1" customWidth="1"/>
    <col min="156" max="156" width="5" bestFit="1" customWidth="1"/>
    <col min="157" max="157" width="7" bestFit="1" customWidth="1"/>
    <col min="158" max="158" width="6" bestFit="1" customWidth="1"/>
    <col min="159" max="160" width="7" bestFit="1" customWidth="1"/>
    <col min="161" max="161" width="6" bestFit="1" customWidth="1"/>
    <col min="162" max="163" width="5" bestFit="1" customWidth="1"/>
    <col min="164" max="164" width="8" bestFit="1" customWidth="1"/>
    <col min="165" max="166" width="6" bestFit="1" customWidth="1"/>
    <col min="167" max="167" width="7" bestFit="1" customWidth="1"/>
    <col min="168" max="168" width="6" bestFit="1" customWidth="1"/>
    <col min="169" max="171" width="5" bestFit="1" customWidth="1"/>
    <col min="172" max="172" width="7" bestFit="1" customWidth="1"/>
    <col min="173" max="175" width="5" bestFit="1" customWidth="1"/>
    <col min="176" max="176" width="10.77734375" bestFit="1" customWidth="1"/>
  </cols>
  <sheetData>
    <row r="4" spans="3:9" x14ac:dyDescent="0.3">
      <c r="C4" s="9" t="s">
        <v>1659</v>
      </c>
      <c r="D4" t="s">
        <v>1662</v>
      </c>
      <c r="E4" t="s">
        <v>1663</v>
      </c>
      <c r="F4" t="s">
        <v>1664</v>
      </c>
      <c r="H4" s="12" t="s">
        <v>1665</v>
      </c>
      <c r="I4" s="11" t="s">
        <v>1669</v>
      </c>
    </row>
    <row r="5" spans="3:9" x14ac:dyDescent="0.3">
      <c r="C5" s="10" t="s">
        <v>1672</v>
      </c>
      <c r="D5">
        <v>26</v>
      </c>
      <c r="E5">
        <v>72576.7</v>
      </c>
      <c r="F5">
        <v>40</v>
      </c>
      <c r="H5">
        <f>GETPIVOTDATA("Totla Revenue (After discount)",Q4_Summary_Dashboard!$C$4)/GETPIVOTDATA("Total Order",Q4_Summary_Dashboard!$C$4)</f>
        <v>2626.0087020648957</v>
      </c>
      <c r="I5">
        <f>(I14/I15)*100</f>
        <v>55.140186915887845</v>
      </c>
    </row>
    <row r="6" spans="3:9" x14ac:dyDescent="0.3">
      <c r="C6" s="10" t="s">
        <v>1673</v>
      </c>
      <c r="D6">
        <v>29</v>
      </c>
      <c r="E6">
        <v>73463.649999999994</v>
      </c>
      <c r="F6">
        <v>33</v>
      </c>
    </row>
    <row r="7" spans="3:9" x14ac:dyDescent="0.3">
      <c r="C7" s="10" t="s">
        <v>1674</v>
      </c>
      <c r="D7">
        <v>28</v>
      </c>
      <c r="E7">
        <v>57126.6</v>
      </c>
      <c r="F7">
        <v>35</v>
      </c>
    </row>
    <row r="8" spans="3:9" x14ac:dyDescent="0.3">
      <c r="C8" s="10" t="s">
        <v>1675</v>
      </c>
      <c r="D8">
        <v>28</v>
      </c>
      <c r="E8">
        <v>61419.80000000001</v>
      </c>
      <c r="F8">
        <v>34</v>
      </c>
    </row>
    <row r="9" spans="3:9" x14ac:dyDescent="0.3">
      <c r="C9" s="10" t="s">
        <v>1676</v>
      </c>
      <c r="D9">
        <v>31</v>
      </c>
      <c r="E9">
        <v>71500.2</v>
      </c>
      <c r="F9">
        <v>33</v>
      </c>
    </row>
    <row r="10" spans="3:9" x14ac:dyDescent="0.3">
      <c r="C10" s="10" t="s">
        <v>1677</v>
      </c>
      <c r="D10">
        <v>21</v>
      </c>
      <c r="E10">
        <v>46956.55</v>
      </c>
      <c r="F10">
        <v>27</v>
      </c>
    </row>
    <row r="11" spans="3:9" x14ac:dyDescent="0.3">
      <c r="C11" s="10" t="s">
        <v>1678</v>
      </c>
      <c r="D11">
        <v>21</v>
      </c>
      <c r="E11">
        <v>62884.05</v>
      </c>
      <c r="F11">
        <v>22</v>
      </c>
    </row>
    <row r="12" spans="3:9" x14ac:dyDescent="0.3">
      <c r="C12" s="10" t="s">
        <v>1679</v>
      </c>
      <c r="D12">
        <v>21</v>
      </c>
      <c r="E12">
        <v>57673.75</v>
      </c>
      <c r="F12">
        <v>22</v>
      </c>
    </row>
    <row r="13" spans="3:9" x14ac:dyDescent="0.3">
      <c r="C13" s="10" t="s">
        <v>1680</v>
      </c>
      <c r="D13">
        <v>23</v>
      </c>
      <c r="E13">
        <v>64174.649999999987</v>
      </c>
      <c r="F13">
        <v>27</v>
      </c>
      <c r="H13" s="21" t="s">
        <v>1666</v>
      </c>
      <c r="I13" s="21"/>
    </row>
    <row r="14" spans="3:9" x14ac:dyDescent="0.3">
      <c r="C14" s="10" t="s">
        <v>1681</v>
      </c>
      <c r="D14">
        <v>27</v>
      </c>
      <c r="E14">
        <v>78752.599999999977</v>
      </c>
      <c r="F14">
        <v>30</v>
      </c>
      <c r="H14" t="s">
        <v>1667</v>
      </c>
      <c r="I14" s="10">
        <f>COUNTIFS(Cleaned_Data!Z:Z,"Yes")</f>
        <v>177</v>
      </c>
    </row>
    <row r="15" spans="3:9" x14ac:dyDescent="0.3">
      <c r="C15" s="10" t="s">
        <v>1682</v>
      </c>
      <c r="D15">
        <v>29</v>
      </c>
      <c r="E15">
        <v>86449.2</v>
      </c>
      <c r="F15">
        <v>33</v>
      </c>
      <c r="H15" t="s">
        <v>1668</v>
      </c>
      <c r="I15" s="10">
        <f>COUNTIF(Cleaned_Data!Y:Y,"Delivered")</f>
        <v>321</v>
      </c>
    </row>
    <row r="16" spans="3:9" x14ac:dyDescent="0.3">
      <c r="C16" s="10" t="s">
        <v>1683</v>
      </c>
      <c r="D16">
        <v>28</v>
      </c>
      <c r="E16">
        <v>82070</v>
      </c>
      <c r="F16">
        <v>32</v>
      </c>
    </row>
    <row r="17" spans="3:6" x14ac:dyDescent="0.3">
      <c r="C17" s="10" t="s">
        <v>1684</v>
      </c>
      <c r="D17">
        <v>26</v>
      </c>
      <c r="E17">
        <v>71570</v>
      </c>
      <c r="F17">
        <v>32</v>
      </c>
    </row>
    <row r="18" spans="3:6" x14ac:dyDescent="0.3">
      <c r="C18" s="10" t="s">
        <v>1685</v>
      </c>
      <c r="D18">
        <v>1</v>
      </c>
      <c r="E18">
        <v>3599.2</v>
      </c>
      <c r="F18">
        <v>1</v>
      </c>
    </row>
    <row r="19" spans="3:6" x14ac:dyDescent="0.3">
      <c r="C19" s="13">
        <v>45657</v>
      </c>
      <c r="D19">
        <v>1</v>
      </c>
      <c r="E19">
        <v>3599.2</v>
      </c>
      <c r="F19">
        <v>1</v>
      </c>
    </row>
    <row r="20" spans="3:6" x14ac:dyDescent="0.3">
      <c r="C20" s="10" t="s">
        <v>1660</v>
      </c>
      <c r="D20">
        <v>339</v>
      </c>
      <c r="E20">
        <v>890216.9499999996</v>
      </c>
      <c r="F20">
        <v>401</v>
      </c>
    </row>
  </sheetData>
  <mergeCells count="1">
    <mergeCell ref="H13:I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4217-CF03-4352-B247-CA822D6FE660}">
  <dimension ref="A1:D16"/>
  <sheetViews>
    <sheetView workbookViewId="0">
      <selection activeCell="A2" sqref="A2:A15"/>
      <pivotSelection pane="bottomRight" showHeader="1" axis="axisRow" activeRow="1" previousRow="1" click="1" r:id="rId1">
        <pivotArea dataOnly="0" labelOnly="1" fieldPosition="0">
          <references count="1">
            <reference field="31" count="0"/>
          </references>
        </pivotArea>
      </pivotSelection>
    </sheetView>
  </sheetViews>
  <sheetFormatPr defaultRowHeight="14.4" x14ac:dyDescent="0.3"/>
  <cols>
    <col min="1" max="1" width="21.5546875" bestFit="1" customWidth="1"/>
    <col min="2" max="2" width="12.77734375" bestFit="1" customWidth="1"/>
    <col min="3" max="3" width="10.88671875" bestFit="1" customWidth="1"/>
    <col min="4" max="4" width="17.77734375" bestFit="1" customWidth="1"/>
    <col min="5" max="5" width="17.21875" bestFit="1" customWidth="1"/>
  </cols>
  <sheetData>
    <row r="1" spans="1:4" x14ac:dyDescent="0.3">
      <c r="A1" s="9" t="s">
        <v>1659</v>
      </c>
      <c r="B1" t="s">
        <v>1688</v>
      </c>
      <c r="C1" t="s">
        <v>1689</v>
      </c>
      <c r="D1" t="s">
        <v>1687</v>
      </c>
    </row>
    <row r="2" spans="1:4" x14ac:dyDescent="0.3">
      <c r="A2" s="10" t="s">
        <v>1672</v>
      </c>
      <c r="B2">
        <v>26</v>
      </c>
      <c r="C2">
        <v>10</v>
      </c>
      <c r="D2">
        <v>5.384615384615385</v>
      </c>
    </row>
    <row r="3" spans="1:4" x14ac:dyDescent="0.3">
      <c r="A3" s="10" t="s">
        <v>1673</v>
      </c>
      <c r="B3">
        <v>29</v>
      </c>
      <c r="C3">
        <v>12</v>
      </c>
      <c r="D3">
        <v>5</v>
      </c>
    </row>
    <row r="4" spans="1:4" x14ac:dyDescent="0.3">
      <c r="A4" s="10" t="s">
        <v>1674</v>
      </c>
      <c r="B4">
        <v>28</v>
      </c>
      <c r="C4">
        <v>12</v>
      </c>
      <c r="D4">
        <v>5.3571428571428568</v>
      </c>
    </row>
    <row r="5" spans="1:4" x14ac:dyDescent="0.3">
      <c r="A5" s="10" t="s">
        <v>1675</v>
      </c>
      <c r="B5">
        <v>28</v>
      </c>
      <c r="C5">
        <v>12</v>
      </c>
      <c r="D5">
        <v>11.785714285714286</v>
      </c>
    </row>
    <row r="6" spans="1:4" x14ac:dyDescent="0.3">
      <c r="A6" s="10" t="s">
        <v>1676</v>
      </c>
      <c r="B6">
        <v>31</v>
      </c>
      <c r="C6">
        <v>23</v>
      </c>
      <c r="D6">
        <v>40</v>
      </c>
    </row>
    <row r="7" spans="1:4" x14ac:dyDescent="0.3">
      <c r="A7" s="10" t="s">
        <v>1677</v>
      </c>
      <c r="B7">
        <v>21</v>
      </c>
      <c r="C7">
        <v>11</v>
      </c>
      <c r="D7">
        <v>11.19047619047619</v>
      </c>
    </row>
    <row r="8" spans="1:4" x14ac:dyDescent="0.3">
      <c r="A8" s="10" t="s">
        <v>1678</v>
      </c>
      <c r="B8">
        <v>21</v>
      </c>
      <c r="C8">
        <v>12</v>
      </c>
      <c r="D8">
        <v>4.2857142857142856</v>
      </c>
    </row>
    <row r="9" spans="1:4" x14ac:dyDescent="0.3">
      <c r="A9" s="10" t="s">
        <v>1679</v>
      </c>
      <c r="B9">
        <v>21</v>
      </c>
      <c r="C9">
        <v>11</v>
      </c>
      <c r="D9">
        <v>3.5714285714285716</v>
      </c>
    </row>
    <row r="10" spans="1:4" x14ac:dyDescent="0.3">
      <c r="A10" s="10" t="s">
        <v>1680</v>
      </c>
      <c r="B10">
        <v>23</v>
      </c>
      <c r="C10">
        <v>12</v>
      </c>
      <c r="D10">
        <v>6.3043478260869561</v>
      </c>
    </row>
    <row r="11" spans="1:4" x14ac:dyDescent="0.3">
      <c r="A11" s="10" t="s">
        <v>1681</v>
      </c>
      <c r="B11">
        <v>27</v>
      </c>
      <c r="C11">
        <v>12</v>
      </c>
      <c r="D11">
        <v>8.1481481481481488</v>
      </c>
    </row>
    <row r="12" spans="1:4" x14ac:dyDescent="0.3">
      <c r="A12" s="10" t="s">
        <v>1682</v>
      </c>
      <c r="B12">
        <v>29</v>
      </c>
      <c r="C12">
        <v>16</v>
      </c>
      <c r="D12">
        <v>6.8965517241379306</v>
      </c>
    </row>
    <row r="13" spans="1:4" x14ac:dyDescent="0.3">
      <c r="A13" s="10" t="s">
        <v>1683</v>
      </c>
      <c r="B13">
        <v>28</v>
      </c>
      <c r="C13">
        <v>17</v>
      </c>
      <c r="D13">
        <v>6.4285714285714288</v>
      </c>
    </row>
    <row r="14" spans="1:4" x14ac:dyDescent="0.3">
      <c r="A14" s="10" t="s">
        <v>1684</v>
      </c>
      <c r="B14">
        <v>26</v>
      </c>
      <c r="C14">
        <v>16</v>
      </c>
      <c r="D14">
        <v>6.1538461538461542</v>
      </c>
    </row>
    <row r="15" spans="1:4" x14ac:dyDescent="0.3">
      <c r="A15" s="10" t="s">
        <v>1685</v>
      </c>
      <c r="B15">
        <v>1</v>
      </c>
      <c r="C15">
        <v>1</v>
      </c>
      <c r="D15">
        <v>20</v>
      </c>
    </row>
    <row r="16" spans="1:4" x14ac:dyDescent="0.3">
      <c r="A16" s="10" t="s">
        <v>1660</v>
      </c>
      <c r="B16">
        <v>339</v>
      </c>
      <c r="C16">
        <v>177</v>
      </c>
      <c r="D16">
        <v>9.8230088495575227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EEE5-B37A-41BC-9C20-EAED994228CB}">
  <dimension ref="A1:E29"/>
  <sheetViews>
    <sheetView topLeftCell="C1" workbookViewId="0">
      <selection activeCell="D1" sqref="A1:D4"/>
    </sheetView>
  </sheetViews>
  <sheetFormatPr defaultRowHeight="14.4" x14ac:dyDescent="0.3"/>
  <cols>
    <col min="1" max="1" width="12.5546875" bestFit="1" customWidth="1"/>
    <col min="2" max="2" width="15.88671875" bestFit="1" customWidth="1"/>
    <col min="3" max="3" width="34.77734375" bestFit="1" customWidth="1"/>
    <col min="4" max="4" width="22.77734375" bestFit="1" customWidth="1"/>
    <col min="5" max="5" width="12" bestFit="1" customWidth="1"/>
  </cols>
  <sheetData>
    <row r="1" spans="1:5" x14ac:dyDescent="0.3">
      <c r="A1" s="9" t="s">
        <v>1659</v>
      </c>
      <c r="B1" t="s">
        <v>1688</v>
      </c>
      <c r="C1" t="s">
        <v>1691</v>
      </c>
      <c r="D1" t="s">
        <v>1692</v>
      </c>
      <c r="E1" s="15" t="s">
        <v>1689</v>
      </c>
    </row>
    <row r="2" spans="1:5" x14ac:dyDescent="0.3">
      <c r="A2" s="10" t="s">
        <v>26</v>
      </c>
      <c r="B2">
        <v>264</v>
      </c>
      <c r="C2">
        <v>2599.9543560606039</v>
      </c>
      <c r="D2">
        <v>145</v>
      </c>
      <c r="E2">
        <f>GETPIVOTDATA("Return Count",$A$1,"Type","New")/GETPIVOTDATA("Order Volume",$A$1,"Type","New")*100</f>
        <v>54.924242424242422</v>
      </c>
    </row>
    <row r="3" spans="1:5" x14ac:dyDescent="0.3">
      <c r="A3" s="10" t="s">
        <v>40</v>
      </c>
      <c r="B3">
        <v>75</v>
      </c>
      <c r="C3">
        <v>2717.72</v>
      </c>
      <c r="D3">
        <v>32</v>
      </c>
      <c r="E3">
        <f>GETPIVOTDATA("Return Count",$A$1,"Type","Returning")/GETPIVOTDATA("Order Volume",$A$1,"Type","Returning")*100</f>
        <v>42.666666666666671</v>
      </c>
    </row>
    <row r="4" spans="1:5" x14ac:dyDescent="0.3">
      <c r="A4" s="10" t="s">
        <v>1660</v>
      </c>
      <c r="B4">
        <v>339</v>
      </c>
      <c r="C4">
        <v>2626.0087020648948</v>
      </c>
      <c r="D4">
        <v>177</v>
      </c>
    </row>
    <row r="7" spans="1:5" x14ac:dyDescent="0.3">
      <c r="A7" s="9" t="s">
        <v>1659</v>
      </c>
      <c r="B7" t="s">
        <v>1661</v>
      </c>
      <c r="C7" t="s">
        <v>1690</v>
      </c>
      <c r="D7" t="s">
        <v>1686</v>
      </c>
      <c r="E7" s="15" t="s">
        <v>1689</v>
      </c>
    </row>
    <row r="8" spans="1:5" x14ac:dyDescent="0.3">
      <c r="A8" s="10" t="s">
        <v>71</v>
      </c>
      <c r="B8">
        <v>108</v>
      </c>
      <c r="C8">
        <v>2757.1624999999995</v>
      </c>
      <c r="D8">
        <v>70</v>
      </c>
      <c r="E8">
        <f>GETPIVOTDATA("Count of Return Received",$A$7,"Source","Instagram Shop")/GETPIVOTDATA("Count of Order ID",$A$7,"Source","Instagram Shop")*100</f>
        <v>64.81481481481481</v>
      </c>
    </row>
    <row r="9" spans="1:5" x14ac:dyDescent="0.3">
      <c r="A9" s="10" t="s">
        <v>46</v>
      </c>
      <c r="B9">
        <v>114</v>
      </c>
      <c r="C9">
        <v>2552.3407894736829</v>
      </c>
      <c r="D9">
        <v>59</v>
      </c>
      <c r="E9">
        <f>GETPIVOTDATA("Count of Return Received",$A$7,"Source","Mobile App")/GETPIVOTDATA("Count of Order ID",$A$7,"Source","Mobile App")*100</f>
        <v>51.754385964912288</v>
      </c>
    </row>
    <row r="10" spans="1:5" x14ac:dyDescent="0.3">
      <c r="A10" s="10" t="s">
        <v>31</v>
      </c>
      <c r="B10">
        <v>117</v>
      </c>
      <c r="C10">
        <v>2576.7226495726513</v>
      </c>
      <c r="D10">
        <v>48</v>
      </c>
      <c r="E10">
        <f>GETPIVOTDATA("Count of Return Received",$A$7,"Source","Website")/GETPIVOTDATA("Count of Order ID",$A$7,"Source","Website")*100</f>
        <v>41.025641025641022</v>
      </c>
    </row>
    <row r="11" spans="1:5" x14ac:dyDescent="0.3">
      <c r="A11" s="10" t="s">
        <v>1660</v>
      </c>
      <c r="B11">
        <v>339</v>
      </c>
      <c r="C11">
        <v>2626.0087020648948</v>
      </c>
      <c r="D11">
        <v>177</v>
      </c>
    </row>
    <row r="14" spans="1:5" x14ac:dyDescent="0.3">
      <c r="A14" s="9" t="s">
        <v>1659</v>
      </c>
      <c r="B14" t="s">
        <v>1661</v>
      </c>
      <c r="C14" t="s">
        <v>1690</v>
      </c>
      <c r="D14" t="s">
        <v>1686</v>
      </c>
      <c r="E14" s="15" t="s">
        <v>1689</v>
      </c>
    </row>
    <row r="15" spans="1:5" x14ac:dyDescent="0.3">
      <c r="A15" s="10" t="s">
        <v>60</v>
      </c>
      <c r="B15">
        <v>62</v>
      </c>
      <c r="C15">
        <v>3033.2798387096782</v>
      </c>
      <c r="D15">
        <v>38</v>
      </c>
      <c r="E15">
        <f>GETPIVOTDATA("Count of Return Received",$A$14,"Payment","COD")/GETPIVOTDATA("Count of Order ID",$A$14,"Payment","COD")*100</f>
        <v>61.29032258064516</v>
      </c>
    </row>
    <row r="16" spans="1:5" x14ac:dyDescent="0.3">
      <c r="A16" s="10" t="s">
        <v>45</v>
      </c>
      <c r="B16">
        <v>86</v>
      </c>
      <c r="C16">
        <v>3107.2040697674415</v>
      </c>
      <c r="D16">
        <v>46</v>
      </c>
      <c r="E16">
        <f>GETPIVOTDATA("Count of Return Received",$A$14,"Payment","Credit Card")/GETPIVOTDATA("Count of Order ID",$A$14,"Payment","Credit Card")*100</f>
        <v>53.488372093023251</v>
      </c>
    </row>
    <row r="17" spans="1:5" x14ac:dyDescent="0.3">
      <c r="A17" s="10" t="s">
        <v>70</v>
      </c>
      <c r="B17">
        <v>59</v>
      </c>
      <c r="C17">
        <v>2473.3483050847462</v>
      </c>
      <c r="D17">
        <v>42</v>
      </c>
      <c r="E17">
        <f>GETPIVOTDATA("Count of Return Received",$A$14,"Payment","Debit Card")/GETPIVOTDATA("Count of Order ID",$A$14,"Payment","Debit Card")*100</f>
        <v>71.186440677966104</v>
      </c>
    </row>
    <row r="18" spans="1:5" x14ac:dyDescent="0.3">
      <c r="A18" s="10" t="s">
        <v>30</v>
      </c>
      <c r="B18">
        <v>80</v>
      </c>
      <c r="C18">
        <v>2327.7800000000011</v>
      </c>
      <c r="D18">
        <v>35</v>
      </c>
      <c r="E18">
        <f>GETPIVOTDATA("Count of Return Received",$A$14,"Payment","UPI")/GETPIVOTDATA("Count of Order ID",$A$14,"Payment","UPI")*100</f>
        <v>43.75</v>
      </c>
    </row>
    <row r="19" spans="1:5" x14ac:dyDescent="0.3">
      <c r="A19" s="10" t="s">
        <v>128</v>
      </c>
      <c r="B19">
        <v>52</v>
      </c>
      <c r="C19">
        <v>1976.6173076923076</v>
      </c>
      <c r="D19">
        <v>16</v>
      </c>
      <c r="E19">
        <f>GETPIVOTDATA("Count of Return Received",$A$14,"Payment","Wallet")/GETPIVOTDATA("Count of Order ID",$A$14,"Payment","Wallet")*100</f>
        <v>30.76923076923077</v>
      </c>
    </row>
    <row r="20" spans="1:5" x14ac:dyDescent="0.3">
      <c r="A20" s="10" t="s">
        <v>1660</v>
      </c>
      <c r="B20">
        <v>339</v>
      </c>
      <c r="C20">
        <v>2626.0087020648975</v>
      </c>
      <c r="D20">
        <v>177</v>
      </c>
    </row>
    <row r="23" spans="1:5" x14ac:dyDescent="0.3">
      <c r="A23" s="9" t="s">
        <v>1659</v>
      </c>
      <c r="B23" t="s">
        <v>1661</v>
      </c>
      <c r="C23" t="s">
        <v>1690</v>
      </c>
      <c r="D23" t="s">
        <v>1686</v>
      </c>
      <c r="E23" s="15" t="s">
        <v>1689</v>
      </c>
    </row>
    <row r="24" spans="1:5" x14ac:dyDescent="0.3">
      <c r="A24" s="10" t="s">
        <v>79</v>
      </c>
      <c r="B24">
        <v>67</v>
      </c>
      <c r="C24">
        <v>1275.8328358208958</v>
      </c>
      <c r="D24">
        <v>16</v>
      </c>
      <c r="E24">
        <f>GETPIVOTDATA("Count of Return Received",$A$23,"Category","Accessories")/GETPIVOTDATA("Count of Order ID",$A$23,"Category","Accessories")*100</f>
        <v>23.880597014925371</v>
      </c>
    </row>
    <row r="25" spans="1:5" x14ac:dyDescent="0.3">
      <c r="A25" s="10" t="s">
        <v>58</v>
      </c>
      <c r="B25">
        <v>66</v>
      </c>
      <c r="C25">
        <v>2073.1128787878788</v>
      </c>
      <c r="D25">
        <v>25</v>
      </c>
      <c r="E25">
        <f>GETPIVOTDATA("Count of Return Received",$A$23,"Category","Bottoms")/GETPIVOTDATA("Count of Order ID",$A$23,"Category","Bottoms")*100</f>
        <v>37.878787878787875</v>
      </c>
    </row>
    <row r="26" spans="1:5" x14ac:dyDescent="0.3">
      <c r="A26" s="10" t="s">
        <v>42</v>
      </c>
      <c r="B26">
        <v>68</v>
      </c>
      <c r="C26">
        <v>3144.4036764705893</v>
      </c>
      <c r="D26">
        <v>42</v>
      </c>
      <c r="E26">
        <f>GETPIVOTDATA("Count of Return Received",$A$23,"Category","Dresses")/GETPIVOTDATA("Count of Order ID",$A$23,"Category","Dresses")*100</f>
        <v>61.764705882352942</v>
      </c>
    </row>
    <row r="27" spans="1:5" x14ac:dyDescent="0.3">
      <c r="A27" s="10" t="s">
        <v>67</v>
      </c>
      <c r="B27">
        <v>67</v>
      </c>
      <c r="C27">
        <v>4682.6917910447764</v>
      </c>
      <c r="D27">
        <v>51</v>
      </c>
      <c r="E27">
        <f>GETPIVOTDATA("Count of Return Received",$A$23,"Category","Outerwear")/GETPIVOTDATA("Count of Order ID",$A$23,"Category","Outerwear")*100</f>
        <v>76.119402985074629</v>
      </c>
    </row>
    <row r="28" spans="1:5" x14ac:dyDescent="0.3">
      <c r="A28" s="10" t="s">
        <v>28</v>
      </c>
      <c r="B28">
        <v>71</v>
      </c>
      <c r="C28">
        <v>1976.7732394366192</v>
      </c>
      <c r="D28">
        <v>43</v>
      </c>
      <c r="E28">
        <f>GETPIVOTDATA("Count of Return Received",$A$23,"Category","Tops")/GETPIVOTDATA("Count of Order ID",$A$23,"Category","Tops")*100</f>
        <v>60.563380281690137</v>
      </c>
    </row>
    <row r="29" spans="1:5" x14ac:dyDescent="0.3">
      <c r="A29" s="10" t="s">
        <v>1660</v>
      </c>
      <c r="B29">
        <v>339</v>
      </c>
      <c r="C29">
        <v>2626.0087020648971</v>
      </c>
      <c r="D29">
        <v>177</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1C482-0201-4D72-83BE-FFCC5BACB110}">
  <dimension ref="C3:K15"/>
  <sheetViews>
    <sheetView workbookViewId="0">
      <selection activeCell="C8" sqref="C8"/>
    </sheetView>
  </sheetViews>
  <sheetFormatPr defaultRowHeight="14.4" x14ac:dyDescent="0.3"/>
  <cols>
    <col min="3" max="3" width="39.88671875" bestFit="1" customWidth="1"/>
    <col min="4" max="4" width="15.77734375" bestFit="1" customWidth="1"/>
    <col min="8" max="8" width="20.77734375" bestFit="1" customWidth="1"/>
    <col min="9" max="9" width="12.77734375" bestFit="1" customWidth="1"/>
    <col min="10" max="10" width="18.5546875" bestFit="1" customWidth="1"/>
    <col min="11" max="11" width="12.21875" bestFit="1" customWidth="1"/>
  </cols>
  <sheetData>
    <row r="3" spans="3:11" ht="18" x14ac:dyDescent="0.35">
      <c r="C3" s="19" t="s">
        <v>1693</v>
      </c>
      <c r="D3" s="20">
        <f>SUM(Table1_12[Total])</f>
        <v>1003499</v>
      </c>
      <c r="H3" s="16" t="s">
        <v>1701</v>
      </c>
      <c r="I3" s="10">
        <f>COUNTIF(Table1_12[Status],"rto")</f>
        <v>17</v>
      </c>
    </row>
    <row r="4" spans="3:11" ht="18" x14ac:dyDescent="0.35">
      <c r="C4" s="19" t="s">
        <v>1694</v>
      </c>
      <c r="D4" s="20">
        <f>SUM(Table1_12[Order_Total_After_Discount])</f>
        <v>890216.94999999949</v>
      </c>
      <c r="H4" s="16" t="s">
        <v>1702</v>
      </c>
      <c r="I4" s="10">
        <f>COUNT(Table1_12[Delivery Date])</f>
        <v>321</v>
      </c>
    </row>
    <row r="5" spans="3:11" ht="18" x14ac:dyDescent="0.35">
      <c r="C5" s="19" t="s">
        <v>1695</v>
      </c>
      <c r="D5" s="20">
        <f>(COUNT(Table1_12[Return Received])/(COUNT(Table1_12[Delivery Date])))*100</f>
        <v>55.140186915887845</v>
      </c>
      <c r="H5" s="16"/>
      <c r="I5" s="10"/>
    </row>
    <row r="6" spans="3:11" ht="18" x14ac:dyDescent="0.35">
      <c r="C6" s="19" t="s">
        <v>1696</v>
      </c>
      <c r="D6" s="20">
        <f>I3/I4*100</f>
        <v>5.29595015576324</v>
      </c>
      <c r="H6" s="16"/>
      <c r="I6" s="10"/>
    </row>
    <row r="7" spans="3:11" ht="18" x14ac:dyDescent="0.35">
      <c r="C7" s="19" t="s">
        <v>1707</v>
      </c>
      <c r="D7" s="20">
        <f>COUNTIF(Table1_12[Refund],"processed")/COUNT(Cleaned_Data!AB:AB)*100</f>
        <v>96.610169491525426</v>
      </c>
      <c r="H7" s="18" t="s">
        <v>1659</v>
      </c>
      <c r="I7" s="18" t="s">
        <v>1688</v>
      </c>
      <c r="J7" t="s">
        <v>1691</v>
      </c>
      <c r="K7" t="s">
        <v>1692</v>
      </c>
    </row>
    <row r="8" spans="3:11" ht="18" x14ac:dyDescent="0.35">
      <c r="C8" s="19" t="s">
        <v>1697</v>
      </c>
      <c r="D8" s="20">
        <f>GETPIVOTDATA("Return Count",$H$7,"Type","New")/GETPIVOTDATA("Order Volume",$H$7,"Type","New")*100</f>
        <v>54.924242424242422</v>
      </c>
      <c r="H8" s="17" t="s">
        <v>26</v>
      </c>
      <c r="I8" s="17">
        <v>264</v>
      </c>
      <c r="J8">
        <v>2599.9543560606039</v>
      </c>
      <c r="K8">
        <v>145</v>
      </c>
    </row>
    <row r="9" spans="3:11" ht="18" x14ac:dyDescent="0.35">
      <c r="C9" s="19" t="s">
        <v>1698</v>
      </c>
      <c r="D9" s="20">
        <f>GETPIVOTDATA("Return Count",$H$7,"Type","Returning")/GETPIVOTDATA("Order Volume",$H$7,"Type","Returning")*100</f>
        <v>42.666666666666671</v>
      </c>
      <c r="H9" s="17" t="s">
        <v>40</v>
      </c>
      <c r="I9" s="17">
        <v>75</v>
      </c>
      <c r="J9">
        <v>2717.72</v>
      </c>
      <c r="K9">
        <v>32</v>
      </c>
    </row>
    <row r="10" spans="3:11" ht="18" x14ac:dyDescent="0.35">
      <c r="C10" s="19" t="s">
        <v>1703</v>
      </c>
      <c r="D10" s="20">
        <f>I12/I15*100</f>
        <v>27.138643067846608</v>
      </c>
      <c r="H10" s="17" t="s">
        <v>1660</v>
      </c>
      <c r="I10" s="17">
        <v>339</v>
      </c>
      <c r="J10">
        <v>2626.0087020648948</v>
      </c>
      <c r="K10">
        <v>177</v>
      </c>
    </row>
    <row r="11" spans="3:11" ht="18" x14ac:dyDescent="0.35">
      <c r="C11" s="19" t="s">
        <v>1705</v>
      </c>
      <c r="D11" s="20">
        <f>I13/I15*100</f>
        <v>37.75811209439528</v>
      </c>
      <c r="H11" s="16"/>
      <c r="I11" s="10"/>
    </row>
    <row r="12" spans="3:11" ht="18" x14ac:dyDescent="0.35">
      <c r="C12" s="19" t="s">
        <v>1704</v>
      </c>
      <c r="D12" s="20">
        <f>I14/I15*100</f>
        <v>35.103244837758112</v>
      </c>
      <c r="H12" s="16" t="s">
        <v>1699</v>
      </c>
      <c r="I12" s="10">
        <f>COUNTIF(Cleaned_Data!U:U,"bangalore")</f>
        <v>92</v>
      </c>
    </row>
    <row r="13" spans="3:11" x14ac:dyDescent="0.3">
      <c r="H13" s="16" t="s">
        <v>1706</v>
      </c>
      <c r="I13" s="10">
        <f>COUNTIF(Cleaned_Data!U:U,"delhi")</f>
        <v>128</v>
      </c>
    </row>
    <row r="14" spans="3:11" x14ac:dyDescent="0.3">
      <c r="H14" s="16" t="s">
        <v>1700</v>
      </c>
      <c r="I14" s="10">
        <f>COUNTIF(Cleaned_Data!U:U,"mumbai")</f>
        <v>119</v>
      </c>
    </row>
    <row r="15" spans="3:11" x14ac:dyDescent="0.3">
      <c r="I15" s="10">
        <f>SUM(I12:I14)</f>
        <v>339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9397-7D7E-45C5-B245-1BF4E5604BF7}">
  <dimension ref="A1"/>
  <sheetViews>
    <sheetView workbookViewId="0"/>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A1FD5-2ACE-4081-B657-B214BCAFF311}">
  <dimension ref="A1"/>
  <sheetViews>
    <sheetView topLeftCell="A19" workbookViewId="0"/>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C4493-7AE1-467B-B8BB-A7F6A70E4080}">
  <dimension ref="A1"/>
  <sheetViews>
    <sheetView topLeftCell="A13" workbookViewId="0"/>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565F5-4EDF-4958-9DBA-98BFAE10CFC4}">
  <dimension ref="A1"/>
  <sheetViews>
    <sheetView tabSelected="1"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2F7B30-9ABC-4823-8321-54865C2036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Urban_threads_original_data</vt:lpstr>
      <vt:lpstr>Validated_Raw_Data</vt:lpstr>
      <vt:lpstr>Cleaned_Data</vt:lpstr>
      <vt:lpstr>Note</vt:lpstr>
      <vt:lpstr>Q4_Summary_Dashboard</vt:lpstr>
      <vt:lpstr>Trend Analysis</vt:lpstr>
      <vt:lpstr>Segment Analysis</vt:lpstr>
      <vt:lpstr>KPI Metrics</vt:lpstr>
      <vt:lpstr>Business Interpretation</vt:lpstr>
      <vt:lpstr>Cleaning_Log</vt:lpstr>
      <vt:lpstr>Validation Summary</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Gowda</cp:lastModifiedBy>
  <dcterms:created xsi:type="dcterms:W3CDTF">2026-02-17T15:29:31Z</dcterms:created>
  <dcterms:modified xsi:type="dcterms:W3CDTF">2026-02-24T14:19:38Z</dcterms:modified>
</cp:coreProperties>
</file>